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Business_Data_Analyst_Project\excel\"/>
    </mc:Choice>
  </mc:AlternateContent>
  <xr:revisionPtr revIDLastSave="0" documentId="13_ncr:1_{1F5E5B8B-2D58-4868-BA1B-F5696FEF7853}" xr6:coauthVersionLast="47" xr6:coauthVersionMax="47" xr10:uidLastSave="{00000000-0000-0000-0000-000000000000}"/>
  <bookViews>
    <workbookView xWindow="-108" yWindow="-108" windowWidth="23256" windowHeight="12456" xr2:uid="{622AF813-2AA9-4D7D-8A5F-D54FE7BE1BDD}"/>
  </bookViews>
  <sheets>
    <sheet name="01_retail_sales cleaned" sheetId="3" r:id="rId1"/>
    <sheet name="01_retail_sales" sheetId="2" r:id="rId2"/>
    <sheet name="Data_Profile" sheetId="1" r:id="rId3"/>
  </sheets>
  <definedNames>
    <definedName name="ExternalData_1" localSheetId="1" hidden="1">'01_retail_sales'!$A$1:$O$182</definedName>
    <definedName name="ExternalData_1" localSheetId="0" hidden="1">'01_retail_sales cleaned'!$A$1:$O$182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8" i="3" l="1"/>
  <c r="B1" i="1"/>
  <c r="B2" i="1"/>
  <c r="B3" i="1"/>
  <c r="B4" i="1"/>
  <c r="B5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11EA6-F1D6-497F-8051-F486F32D2C86}" keepAlive="1" name="Query - 01_retail_sales" description="Connection to the '01_retail_sales' query in the workbook." type="5" refreshedVersion="8" background="1" saveData="1">
    <dbPr connection="Provider=Microsoft.Mashup.OleDb.1;Data Source=$Workbook$;Location=01_retail_sales;Extended Properties=&quot;&quot;" command="SELECT * FROM [01_retail_sales]"/>
  </connection>
  <connection id="2" xr16:uid="{25A21D5C-3D65-4AD2-9023-0E8856ED7D4E}" keepAlive="1" name="Query - 01_retail_sales (2)" description="Connection to the '01_retail_sales (2)' query in the workbook." type="5" refreshedVersion="8" background="1" saveData="1">
    <dbPr connection="Provider=Microsoft.Mashup.OleDb.1;Data Source=$Workbook$;Location=&quot;01_retail_sales (2)&quot;;Extended Properties=&quot;&quot;" command="SELECT * FROM [01_retail_sales (2)]"/>
  </connection>
</connections>
</file>

<file path=xl/sharedStrings.xml><?xml version="1.0" encoding="utf-8"?>
<sst xmlns="http://schemas.openxmlformats.org/spreadsheetml/2006/main" count="2570" uniqueCount="117">
  <si>
    <t>order_id</t>
  </si>
  <si>
    <t>order_date</t>
  </si>
  <si>
    <t>region</t>
  </si>
  <si>
    <t>city</t>
  </si>
  <si>
    <t>channel</t>
  </si>
  <si>
    <t>product</t>
  </si>
  <si>
    <t>category</t>
  </si>
  <si>
    <t>quantity</t>
  </si>
  <si>
    <t>unit_price</t>
  </si>
  <si>
    <t>discount_rate</t>
  </si>
  <si>
    <t>payment_method</t>
  </si>
  <si>
    <t>customer_id</t>
  </si>
  <si>
    <t>gross_sales</t>
  </si>
  <si>
    <t>discount_amount</t>
  </si>
  <si>
    <t>net_sales</t>
  </si>
  <si>
    <t>East</t>
  </si>
  <si>
    <t>Kolkata</t>
  </si>
  <si>
    <t>Online</t>
  </si>
  <si>
    <t>Laptop</t>
  </si>
  <si>
    <t>Electronics</t>
  </si>
  <si>
    <t>UPI</t>
  </si>
  <si>
    <t>C001</t>
  </si>
  <si>
    <t>West</t>
  </si>
  <si>
    <t>Pune</t>
  </si>
  <si>
    <t>Retail Store</t>
  </si>
  <si>
    <t>Monitor</t>
  </si>
  <si>
    <t>Card</t>
  </si>
  <si>
    <t>C002</t>
  </si>
  <si>
    <t>North</t>
  </si>
  <si>
    <t>Lucknow</t>
  </si>
  <si>
    <t>Distributor</t>
  </si>
  <si>
    <t>Keyboard</t>
  </si>
  <si>
    <t>Cash</t>
  </si>
  <si>
    <t>C003</t>
  </si>
  <si>
    <t>South</t>
  </si>
  <si>
    <t>Bengaluru</t>
  </si>
  <si>
    <t>Mouse</t>
  </si>
  <si>
    <t>Net Banking</t>
  </si>
  <si>
    <t>C004</t>
  </si>
  <si>
    <t>Howrah</t>
  </si>
  <si>
    <t>Office Chair</t>
  </si>
  <si>
    <t>Furniture</t>
  </si>
  <si>
    <t>C005</t>
  </si>
  <si>
    <t>kolkata</t>
  </si>
  <si>
    <t>Desk</t>
  </si>
  <si>
    <t>C006</t>
  </si>
  <si>
    <t>Delhi</t>
  </si>
  <si>
    <t>Printer</t>
  </si>
  <si>
    <t>C007</t>
  </si>
  <si>
    <t>Chennai</t>
  </si>
  <si>
    <t>Notebook</t>
  </si>
  <si>
    <t>Stationery</t>
  </si>
  <si>
    <t>C008</t>
  </si>
  <si>
    <t>Durgapur</t>
  </si>
  <si>
    <t>Pen Pack</t>
  </si>
  <si>
    <t>C009</t>
  </si>
  <si>
    <t>Mumbai</t>
  </si>
  <si>
    <t>Headphones</t>
  </si>
  <si>
    <t>C010</t>
  </si>
  <si>
    <t>Jaipur</t>
  </si>
  <si>
    <t>C011</t>
  </si>
  <si>
    <t>Hyderabad</t>
  </si>
  <si>
    <t>C012</t>
  </si>
  <si>
    <t>C013</t>
  </si>
  <si>
    <t>C014</t>
  </si>
  <si>
    <t>C015</t>
  </si>
  <si>
    <t>C016</t>
  </si>
  <si>
    <t>C017</t>
  </si>
  <si>
    <t>Surat</t>
  </si>
  <si>
    <t>online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</si>
  <si>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</si>
  <si>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</si>
  <si>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</si>
  <si>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</si>
  <si>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</si>
  <si>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</si>
  <si>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</si>
  <si>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</si>
  <si>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</si>
  <si>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</si>
  <si>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</si>
  <si>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</si>
  <si>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</si>
  <si>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</si>
  <si>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</si>
  <si>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</si>
  <si>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</si>
  <si>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</si>
  <si>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</si>
  <si>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</si>
  <si>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</si>
  <si>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</si>
  <si>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</si>
  <si>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</si>
  <si>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</si>
  <si>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</si>
  <si>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</si>
  <si>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</si>
  <si>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</si>
  <si>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</si>
  <si>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</si>
  <si>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</si>
  <si>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</si>
  <si>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</si>
  <si>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</si>
  <si>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</si>
  <si>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</si>
  <si>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</si>
  <si>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upi</t>
  </si>
  <si>
    <t>electronics</t>
  </si>
  <si>
    <t/>
  </si>
  <si>
    <t>Total Orders</t>
  </si>
  <si>
    <t>Unique Customers</t>
  </si>
  <si>
    <t>Total Quantity</t>
  </si>
  <si>
    <t>Total Sales</t>
  </si>
  <si>
    <t>First Order Date</t>
  </si>
  <si>
    <t>Last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</si>
</sst>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A76904-EFE3-42A6-96E3-4ED4A9A8300A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region" tableColumnId="3"/>
      <queryTableField id="4" name="city" tableColumnId="4"/>
      <queryTableField id="5" name="channel" tableColumnId="5"/>
      <queryTableField id="6" name="product" tableColumnId="6"/>
      <queryTableField id="7" name="category" tableColumnId="7"/>
      <queryTableField id="8" name="quantity" tableColumnId="8"/>
      <queryTableField id="9" name="unit_price" tableColumnId="9"/>
      <queryTableField id="10" name="discount_rate" tableColumnId="10"/>
      <queryTableField id="11" name="payment_method" tableColumnId="11"/>
      <queryTableField id="12" name="customer_id" tableColumnId="12"/>
      <queryTableField id="13" name="gross_sales" tableColumnId="13"/>
      <queryTableField id="14" name="discount_amount" tableColumnId="14"/>
      <queryTableField id="15" name="net_sale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0A2A2-68C9-4BEA-8513-14D49BDA1772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region" tableColumnId="3"/>
      <queryTableField id="4" name="city" tableColumnId="4"/>
      <queryTableField id="5" name="channel" tableColumnId="5"/>
      <queryTableField id="6" name="product" tableColumnId="6"/>
      <queryTableField id="7" name="category" tableColumnId="7"/>
      <queryTableField id="8" name="quantity" tableColumnId="8"/>
      <queryTableField id="9" name="unit_price" tableColumnId="9"/>
      <queryTableField id="10" name="discount_rate" tableColumnId="10"/>
      <queryTableField id="11" name="payment_method" tableColumnId="11"/>
      <queryTableField id="12" name="customer_id" tableColumnId="12"/>
      <queryTableField id="13" name="gross_sales" tableColumnId="13"/>
      <queryTableField id="14" name="discount_amount" tableColumnId="14"/>
      <queryTableField id="15" name="net_sal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4C0E2-0FBC-4606-A69F-D6DC69EFC4AB}" name="tblSales3" displayName="tblSales3" ref="A1:O182" tableType="queryTable" totalsRowShown="0">
  <autoFilter ref="A1:O182" xr:uid="{27C4C0E2-0FBC-4606-A69F-D6DC69EFC4AB}"/>
  <tableColumns count="15">
    <tableColumn id="1" xr3:uid="{2AA06304-55A5-4398-9601-3D1DABDB6EFA}" uniqueName="1" name="order_id" queryTableFieldId="1"/>
    <tableColumn id="2" xr3:uid="{0335B9A8-1BBE-4967-92E1-B3DBC87B899E}" uniqueName="2" name="order_date" queryTableFieldId="2" dataDxfId="7"/>
    <tableColumn id="3" xr3:uid="{08C971EF-6C10-4945-8409-1AE3387467DF}" uniqueName="3" name="region" queryTableFieldId="3" dataDxfId="6"/>
    <tableColumn id="4" xr3:uid="{21578B3D-9B8B-4F09-839D-A205AB81F9E6}" uniqueName="4" name="city" queryTableFieldId="4" dataDxfId="5"/>
    <tableColumn id="5" xr3:uid="{176BC0CF-1361-4B10-8097-4816CC3C235B}" uniqueName="5" name="channel" queryTableFieldId="5" dataDxfId="4"/>
    <tableColumn id="6" xr3:uid="{007DBA22-BBEF-4785-BF49-90BA4DBAB4CE}" uniqueName="6" name="product" queryTableFieldId="6" dataDxfId="3"/>
    <tableColumn id="7" xr3:uid="{C1971A51-30AB-4780-BE9C-2574C4F4A11A}" uniqueName="7" name="category" queryTableFieldId="7" dataDxfId="2"/>
    <tableColumn id="8" xr3:uid="{72FA9552-11F0-44DA-84F4-4320365595B9}" uniqueName="8" name="quantity" queryTableFieldId="8"/>
    <tableColumn id="9" xr3:uid="{AD1A040B-BEEA-4DC6-974F-9D4508092683}" uniqueName="9" name="unit_price" queryTableFieldId="9"/>
    <tableColumn id="10" xr3:uid="{EA955BA7-E037-496E-B1DC-3422232E081F}" uniqueName="10" name="discount_rate" queryTableFieldId="10"/>
    <tableColumn id="11" xr3:uid="{123A4A13-8BB9-41A3-A190-9BE3A65D09C3}" uniqueName="11" name="payment_method" queryTableFieldId="11" dataDxfId="1"/>
    <tableColumn id="12" xr3:uid="{19A66A3F-E4F5-4616-9123-3EB5E56ABA52}" uniqueName="12" name="customer_id" queryTableFieldId="12" dataDxfId="0"/>
    <tableColumn id="13" xr3:uid="{D20EDB45-9341-4D66-97B3-BEAA9D111912}" uniqueName="13" name="gross_sales" queryTableFieldId="13"/>
    <tableColumn id="14" xr3:uid="{617E26FE-EFFB-4AC0-A386-8D77E1BF54BB}" uniqueName="14" name="discount_amount" queryTableFieldId="14"/>
    <tableColumn id="15" xr3:uid="{B480AA0A-3603-4A35-ABAB-0EA5EE73DB84}" uniqueName="15" name="net_sales" queryTableField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D2298-C31D-451F-95F8-62054CEB6080}" name="tblSales" displayName="tblSales" ref="A1:O182" tableType="queryTable" totalsRowShown="0">
  <autoFilter ref="A1:O182" xr:uid="{CCED2298-C31D-451F-95F8-62054CEB6080}"/>
  <tableColumns count="15">
    <tableColumn id="1" xr3:uid="{BF884571-61D9-41B0-ACAE-F0D536E2F2A1}" uniqueName="1" name="order_id" queryTableFieldId="1"/>
    <tableColumn id="2" xr3:uid="{2DFFC6A5-7389-486B-A9F8-3D341AC105C8}" uniqueName="2" name="order_date" queryTableFieldId="2" dataDxfId="15"/>
    <tableColumn id="3" xr3:uid="{41C387F8-9242-4509-B1CC-99B9F9182CD9}" uniqueName="3" name="region" queryTableFieldId="3" dataDxfId="14"/>
    <tableColumn id="4" xr3:uid="{135780E1-F2A8-4182-BF47-8DCB4D22F109}" uniqueName="4" name="city" queryTableFieldId="4" dataDxfId="13"/>
    <tableColumn id="5" xr3:uid="{6300771A-5394-45AA-ADDA-16CE4DDA350E}" uniqueName="5" name="channel" queryTableFieldId="5" dataDxfId="12"/>
    <tableColumn id="6" xr3:uid="{DA5BFCB1-55AA-4433-B3FE-3A374FFFCEDB}" uniqueName="6" name="product" queryTableFieldId="6" dataDxfId="11"/>
    <tableColumn id="7" xr3:uid="{1EE709BD-A826-4002-BCFA-D25A8B13E070}" uniqueName="7" name="category" queryTableFieldId="7" dataDxfId="10"/>
    <tableColumn id="8" xr3:uid="{2496EB8D-4710-497D-AF80-F56B9828F1B0}" uniqueName="8" name="quantity" queryTableFieldId="8"/>
    <tableColumn id="9" xr3:uid="{AF0339DF-B570-4B1C-A538-22DB258F285A}" uniqueName="9" name="unit_price" queryTableFieldId="9"/>
    <tableColumn id="10" xr3:uid="{A3638776-7492-4F8B-9E9C-A4ECE88D5FB1}" uniqueName="10" name="discount_rate" queryTableFieldId="10"/>
    <tableColumn id="11" xr3:uid="{34700F36-895D-42E6-A30F-8657049C68B8}" uniqueName="11" name="payment_method" queryTableFieldId="11" dataDxfId="9"/>
    <tableColumn id="12" xr3:uid="{1966F71E-B522-431F-9920-6C578956D326}" uniqueName="12" name="customer_id" queryTableFieldId="12" dataDxfId="8"/>
    <tableColumn id="13" xr3:uid="{17E3E174-E439-4AD4-93D3-D1FDFBCD15A0}" uniqueName="13" name="gross_sales" queryTableFieldId="13"/>
    <tableColumn id="14" xr3:uid="{E56AF54F-B64D-4DFA-9405-EBCE4862E133}" uniqueName="14" name="discount_amount" queryTableFieldId="14"/>
    <tableColumn id="15" xr3:uid="{A14F2496-9DBC-4A51-858D-FFB64DCFB62C}" uniqueName="15" name="net_sales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7A2-4737-4E61-8E92-A5CEA3F5338D}">
  <dimension ref="A1:O182"/>
  <sheetViews>
    <sheetView tabSelected="1" topLeftCell="D97" workbookViewId="0">
      <selection activeCell="N100" sqref="N100"/>
    </sheetView>
  </sheetViews>
  <sheetFormatPr defaultRowHeight="14.4"/>
  <cols>
    <col min="1" max="1" width="10.33203125" bestFit="1" customWidth="1"/>
    <col min="2" max="2" width="12.5546875" bestFit="1" customWidth="1"/>
    <col min="3" max="3" width="8.5546875" bestFit="1" customWidth="1"/>
    <col min="4" max="4" width="9.77734375" bestFit="1" customWidth="1"/>
    <col min="5" max="5" width="10.44140625" bestFit="1" customWidth="1"/>
    <col min="6" max="6" width="11.109375" bestFit="1" customWidth="1"/>
    <col min="7" max="7" width="10.5546875" bestFit="1" customWidth="1"/>
    <col min="8" max="8" width="10.33203125" bestFit="1" customWidth="1"/>
    <col min="9" max="9" width="11.6640625" bestFit="1" customWidth="1"/>
    <col min="10" max="10" width="14.77734375" bestFit="1" customWidth="1"/>
    <col min="11" max="11" width="18.5546875" bestFit="1" customWidth="1"/>
    <col min="12" max="12" width="13.6640625" bestFit="1" customWidth="1"/>
    <col min="13" max="13" width="12.5546875" bestFit="1" customWidth="1"/>
    <col min="14" max="14" width="18.21875" bestFit="1" customWidth="1"/>
    <col min="15" max="15" width="1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10001</v>
      </c>
      <c r="B2" s="1">
        <v>45737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>
        <v>1</v>
      </c>
      <c r="I2">
        <v>65000</v>
      </c>
      <c r="J2">
        <v>0.15</v>
      </c>
      <c r="K2" s="2" t="s">
        <v>20</v>
      </c>
      <c r="L2" s="2" t="s">
        <v>21</v>
      </c>
      <c r="M2">
        <v>65000</v>
      </c>
      <c r="N2">
        <v>9750</v>
      </c>
      <c r="O2">
        <v>55250</v>
      </c>
    </row>
    <row r="3" spans="1:15">
      <c r="A3">
        <v>10002</v>
      </c>
      <c r="B3" s="1">
        <v>45784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19</v>
      </c>
      <c r="H3">
        <v>4</v>
      </c>
      <c r="I3">
        <v>11400</v>
      </c>
      <c r="J3">
        <v>0.2</v>
      </c>
      <c r="K3" s="2" t="s">
        <v>26</v>
      </c>
      <c r="L3" s="2" t="s">
        <v>27</v>
      </c>
      <c r="M3">
        <v>45600</v>
      </c>
      <c r="N3">
        <v>9120</v>
      </c>
      <c r="O3">
        <v>36480</v>
      </c>
    </row>
    <row r="4" spans="1:15">
      <c r="A4">
        <v>10003</v>
      </c>
      <c r="B4" s="1">
        <v>45834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19</v>
      </c>
      <c r="H4">
        <v>2</v>
      </c>
      <c r="I4">
        <v>1800</v>
      </c>
      <c r="J4">
        <v>0</v>
      </c>
      <c r="K4" s="2" t="s">
        <v>32</v>
      </c>
      <c r="L4" s="2" t="s">
        <v>33</v>
      </c>
      <c r="M4">
        <v>3600</v>
      </c>
      <c r="N4">
        <v>0</v>
      </c>
      <c r="O4">
        <v>3600</v>
      </c>
    </row>
    <row r="5" spans="1:15">
      <c r="A5">
        <v>10004</v>
      </c>
      <c r="B5" s="1">
        <v>45800</v>
      </c>
      <c r="C5" s="2" t="s">
        <v>34</v>
      </c>
      <c r="D5" s="2" t="s">
        <v>35</v>
      </c>
      <c r="E5" s="2" t="s">
        <v>17</v>
      </c>
      <c r="F5" s="2" t="s">
        <v>36</v>
      </c>
      <c r="G5" s="2" t="s">
        <v>19</v>
      </c>
      <c r="H5">
        <v>6</v>
      </c>
      <c r="I5">
        <v>800</v>
      </c>
      <c r="J5">
        <v>0.15</v>
      </c>
      <c r="K5" s="2" t="s">
        <v>37</v>
      </c>
      <c r="L5" s="2" t="s">
        <v>38</v>
      </c>
      <c r="M5">
        <v>4800</v>
      </c>
      <c r="N5">
        <v>720</v>
      </c>
      <c r="O5">
        <v>4080</v>
      </c>
    </row>
    <row r="6" spans="1:15">
      <c r="A6">
        <v>10005</v>
      </c>
      <c r="B6" s="1">
        <v>45739</v>
      </c>
      <c r="C6" s="2" t="s">
        <v>15</v>
      </c>
      <c r="D6" s="2" t="s">
        <v>39</v>
      </c>
      <c r="E6" s="2" t="s">
        <v>24</v>
      </c>
      <c r="F6" s="2" t="s">
        <v>40</v>
      </c>
      <c r="G6" s="2" t="s">
        <v>41</v>
      </c>
      <c r="H6">
        <v>4</v>
      </c>
      <c r="I6">
        <v>8925</v>
      </c>
      <c r="J6">
        <v>0</v>
      </c>
      <c r="K6" s="2" t="s">
        <v>20</v>
      </c>
      <c r="L6" s="2" t="s">
        <v>42</v>
      </c>
      <c r="M6">
        <v>35700</v>
      </c>
      <c r="N6">
        <v>0</v>
      </c>
      <c r="O6">
        <v>35700</v>
      </c>
    </row>
    <row r="7" spans="1:15">
      <c r="A7">
        <v>10006</v>
      </c>
      <c r="B7" s="1">
        <v>45825</v>
      </c>
      <c r="C7" s="2" t="s">
        <v>22</v>
      </c>
      <c r="D7" s="2" t="s">
        <v>43</v>
      </c>
      <c r="E7" s="2" t="s">
        <v>30</v>
      </c>
      <c r="F7" s="2" t="s">
        <v>44</v>
      </c>
      <c r="G7" s="2" t="s">
        <v>41</v>
      </c>
      <c r="H7">
        <v>4</v>
      </c>
      <c r="I7">
        <v>13300</v>
      </c>
      <c r="J7">
        <v>0.05</v>
      </c>
      <c r="K7" s="2" t="s">
        <v>26</v>
      </c>
      <c r="L7" s="2" t="s">
        <v>45</v>
      </c>
      <c r="M7">
        <v>53200</v>
      </c>
      <c r="N7">
        <v>2660</v>
      </c>
      <c r="O7">
        <v>50540</v>
      </c>
    </row>
    <row r="8" spans="1:15">
      <c r="A8">
        <v>10007</v>
      </c>
      <c r="B8" s="1">
        <v>45806</v>
      </c>
      <c r="C8" s="2" t="s">
        <v>28</v>
      </c>
      <c r="D8" s="2" t="s">
        <v>46</v>
      </c>
      <c r="E8" s="2" t="s">
        <v>17</v>
      </c>
      <c r="F8" s="2" t="s">
        <v>47</v>
      </c>
      <c r="G8" s="2" t="s">
        <v>19</v>
      </c>
      <c r="H8">
        <v>6</v>
      </c>
      <c r="I8">
        <v>11000</v>
      </c>
      <c r="J8">
        <v>0.15</v>
      </c>
      <c r="K8" s="2" t="s">
        <v>32</v>
      </c>
      <c r="L8" s="2" t="s">
        <v>48</v>
      </c>
      <c r="M8">
        <v>66000</v>
      </c>
      <c r="N8">
        <v>9900</v>
      </c>
      <c r="O8">
        <v>56100</v>
      </c>
    </row>
    <row r="9" spans="1:15">
      <c r="A9">
        <v>10008</v>
      </c>
      <c r="B9" s="1">
        <v>45699</v>
      </c>
      <c r="C9" s="2" t="s">
        <v>34</v>
      </c>
      <c r="D9" s="2" t="s">
        <v>49</v>
      </c>
      <c r="E9" s="2" t="s">
        <v>24</v>
      </c>
      <c r="F9" s="2" t="s">
        <v>50</v>
      </c>
      <c r="G9" s="2" t="s">
        <v>51</v>
      </c>
      <c r="H9">
        <v>4</v>
      </c>
      <c r="I9">
        <v>120</v>
      </c>
      <c r="J9">
        <v>0.1</v>
      </c>
      <c r="K9" s="2" t="s">
        <v>37</v>
      </c>
      <c r="L9" s="2" t="s">
        <v>52</v>
      </c>
      <c r="M9">
        <v>480</v>
      </c>
      <c r="N9">
        <v>48</v>
      </c>
      <c r="O9">
        <v>432</v>
      </c>
    </row>
    <row r="10" spans="1:15">
      <c r="A10">
        <v>10009</v>
      </c>
      <c r="B10" s="1">
        <v>45669</v>
      </c>
      <c r="C10" s="2" t="s">
        <v>15</v>
      </c>
      <c r="D10" s="2" t="s">
        <v>53</v>
      </c>
      <c r="E10" s="2" t="s">
        <v>30</v>
      </c>
      <c r="F10" s="2" t="s">
        <v>54</v>
      </c>
      <c r="G10" s="2" t="s">
        <v>51</v>
      </c>
      <c r="H10">
        <v>1</v>
      </c>
      <c r="I10">
        <v>189</v>
      </c>
      <c r="J10">
        <v>0.1</v>
      </c>
      <c r="K10" s="2" t="s">
        <v>20</v>
      </c>
      <c r="L10" s="2" t="s">
        <v>55</v>
      </c>
      <c r="M10">
        <v>189</v>
      </c>
      <c r="N10">
        <v>18.900000000000002</v>
      </c>
      <c r="O10">
        <v>170.1</v>
      </c>
    </row>
    <row r="11" spans="1:15">
      <c r="A11">
        <v>10010</v>
      </c>
      <c r="B11" s="1">
        <v>45772</v>
      </c>
      <c r="C11" s="2" t="s">
        <v>22</v>
      </c>
      <c r="D11" s="2" t="s">
        <v>56</v>
      </c>
      <c r="E11" s="2" t="s">
        <v>17</v>
      </c>
      <c r="F11" s="2" t="s">
        <v>57</v>
      </c>
      <c r="G11" s="2" t="s">
        <v>19</v>
      </c>
      <c r="H11">
        <v>7</v>
      </c>
      <c r="I11">
        <v>2500</v>
      </c>
      <c r="J11">
        <v>0.2</v>
      </c>
      <c r="K11" s="2" t="s">
        <v>26</v>
      </c>
      <c r="L11" s="2" t="s">
        <v>58</v>
      </c>
      <c r="M11">
        <v>17500</v>
      </c>
      <c r="N11">
        <v>3500</v>
      </c>
      <c r="O11">
        <v>14000</v>
      </c>
    </row>
    <row r="12" spans="1:15">
      <c r="A12">
        <v>10011</v>
      </c>
      <c r="B12" s="1">
        <v>45722</v>
      </c>
      <c r="C12" s="2" t="s">
        <v>28</v>
      </c>
      <c r="D12" s="2" t="s">
        <v>59</v>
      </c>
      <c r="E12" s="2" t="s">
        <v>24</v>
      </c>
      <c r="F12" s="2" t="s">
        <v>18</v>
      </c>
      <c r="G12" s="2" t="s">
        <v>19</v>
      </c>
      <c r="H12">
        <v>2</v>
      </c>
      <c r="I12">
        <v>65000</v>
      </c>
      <c r="J12">
        <v>0.15</v>
      </c>
      <c r="K12" s="2" t="s">
        <v>32</v>
      </c>
      <c r="L12" s="2" t="s">
        <v>60</v>
      </c>
      <c r="M12">
        <v>130000</v>
      </c>
      <c r="N12">
        <v>19500</v>
      </c>
      <c r="O12">
        <v>110500</v>
      </c>
    </row>
    <row r="13" spans="1:15">
      <c r="A13">
        <v>10012</v>
      </c>
      <c r="B13" s="1">
        <v>45819</v>
      </c>
      <c r="C13" s="2" t="s">
        <v>34</v>
      </c>
      <c r="D13" s="2" t="s">
        <v>61</v>
      </c>
      <c r="E13" s="2" t="s">
        <v>30</v>
      </c>
      <c r="F13" s="2" t="s">
        <v>25</v>
      </c>
      <c r="G13" s="2" t="s">
        <v>19</v>
      </c>
      <c r="H13">
        <v>1</v>
      </c>
      <c r="I13">
        <v>12000</v>
      </c>
      <c r="J13">
        <v>0.2</v>
      </c>
      <c r="K13" s="2" t="s">
        <v>37</v>
      </c>
      <c r="L13" s="2" t="s">
        <v>62</v>
      </c>
      <c r="M13">
        <v>12000</v>
      </c>
      <c r="N13">
        <v>2400</v>
      </c>
      <c r="O13">
        <v>9600</v>
      </c>
    </row>
    <row r="14" spans="1:15">
      <c r="A14">
        <v>10013</v>
      </c>
      <c r="B14" s="1">
        <v>45693</v>
      </c>
      <c r="C14" s="2" t="s">
        <v>15</v>
      </c>
      <c r="D14" s="2" t="s">
        <v>16</v>
      </c>
      <c r="E14" s="2" t="s">
        <v>17</v>
      </c>
      <c r="F14" s="2" t="s">
        <v>31</v>
      </c>
      <c r="G14" s="2" t="s">
        <v>19</v>
      </c>
      <c r="H14">
        <v>5</v>
      </c>
      <c r="I14">
        <v>1890</v>
      </c>
      <c r="J14">
        <v>0.15</v>
      </c>
      <c r="K14" s="2" t="s">
        <v>20</v>
      </c>
      <c r="L14" s="2" t="s">
        <v>63</v>
      </c>
      <c r="M14">
        <v>9450</v>
      </c>
      <c r="N14">
        <v>1417.5</v>
      </c>
      <c r="O14">
        <v>8032.5</v>
      </c>
    </row>
    <row r="15" spans="1:15">
      <c r="A15">
        <v>10014</v>
      </c>
      <c r="B15" s="1">
        <v>45665</v>
      </c>
      <c r="C15" s="2" t="s">
        <v>22</v>
      </c>
      <c r="D15" s="2" t="s">
        <v>23</v>
      </c>
      <c r="E15" s="2" t="s">
        <v>24</v>
      </c>
      <c r="F15" s="2" t="s">
        <v>36</v>
      </c>
      <c r="G15" s="2" t="s">
        <v>19</v>
      </c>
      <c r="H15">
        <v>3</v>
      </c>
      <c r="I15">
        <v>800</v>
      </c>
      <c r="J15">
        <v>0.1</v>
      </c>
      <c r="K15" s="2" t="s">
        <v>26</v>
      </c>
      <c r="L15" s="2" t="s">
        <v>64</v>
      </c>
      <c r="M15">
        <v>2400</v>
      </c>
      <c r="N15">
        <v>240</v>
      </c>
      <c r="O15">
        <v>2160</v>
      </c>
    </row>
    <row r="16" spans="1:15">
      <c r="A16">
        <v>10015</v>
      </c>
      <c r="B16" s="1">
        <v>45781</v>
      </c>
      <c r="C16" s="2" t="s">
        <v>28</v>
      </c>
      <c r="D16" s="2" t="s">
        <v>29</v>
      </c>
      <c r="E16" s="2" t="s">
        <v>30</v>
      </c>
      <c r="F16" s="2" t="s">
        <v>40</v>
      </c>
      <c r="G16" s="2" t="s">
        <v>41</v>
      </c>
      <c r="H16">
        <v>4</v>
      </c>
      <c r="I16">
        <v>8500</v>
      </c>
      <c r="J16">
        <v>0</v>
      </c>
      <c r="K16" s="2" t="s">
        <v>32</v>
      </c>
      <c r="L16" s="2" t="s">
        <v>65</v>
      </c>
      <c r="M16">
        <v>34000</v>
      </c>
      <c r="N16">
        <v>0</v>
      </c>
      <c r="O16">
        <v>34000</v>
      </c>
    </row>
    <row r="17" spans="1:15">
      <c r="A17">
        <v>10016</v>
      </c>
      <c r="B17" s="1">
        <v>45833</v>
      </c>
      <c r="C17" s="2" t="s">
        <v>34</v>
      </c>
      <c r="D17" s="2" t="s">
        <v>35</v>
      </c>
      <c r="E17" s="2" t="s">
        <v>17</v>
      </c>
      <c r="F17" s="2" t="s">
        <v>44</v>
      </c>
      <c r="G17" s="2" t="s">
        <v>41</v>
      </c>
      <c r="H17">
        <v>7</v>
      </c>
      <c r="I17">
        <v>14000</v>
      </c>
      <c r="J17">
        <v>0.15</v>
      </c>
      <c r="K17" s="2" t="s">
        <v>37</v>
      </c>
      <c r="L17" s="2" t="s">
        <v>66</v>
      </c>
      <c r="M17">
        <v>98000</v>
      </c>
      <c r="N17">
        <v>14700</v>
      </c>
      <c r="O17">
        <v>83300</v>
      </c>
    </row>
    <row r="18" spans="1:15">
      <c r="A18">
        <v>10017</v>
      </c>
      <c r="B18" s="1">
        <v>45725</v>
      </c>
      <c r="C18" s="2" t="s">
        <v>15</v>
      </c>
      <c r="D18" s="2" t="s">
        <v>39</v>
      </c>
      <c r="E18" s="2" t="s">
        <v>24</v>
      </c>
      <c r="F18" s="2" t="s">
        <v>47</v>
      </c>
      <c r="G18" s="2" t="s">
        <v>19</v>
      </c>
      <c r="H18">
        <v>3</v>
      </c>
      <c r="I18">
        <v>11550</v>
      </c>
      <c r="J18">
        <v>0.05</v>
      </c>
      <c r="K18" s="2" t="s">
        <v>20</v>
      </c>
      <c r="L18" s="2" t="s">
        <v>67</v>
      </c>
      <c r="M18">
        <v>34650</v>
      </c>
      <c r="N18">
        <v>1732.5</v>
      </c>
      <c r="O18">
        <v>32917.5</v>
      </c>
    </row>
    <row r="19" spans="1:15">
      <c r="A19">
        <v>10018</v>
      </c>
      <c r="B19" s="1">
        <v>45692</v>
      </c>
      <c r="C19" s="2" t="s">
        <v>22</v>
      </c>
      <c r="D19" s="2" t="s">
        <v>68</v>
      </c>
      <c r="E19" s="2" t="s">
        <v>17</v>
      </c>
      <c r="F19" s="2" t="s">
        <v>50</v>
      </c>
      <c r="G19" s="2" t="s">
        <v>51</v>
      </c>
      <c r="H19">
        <v>1</v>
      </c>
      <c r="I19">
        <v>126</v>
      </c>
      <c r="J19">
        <v>0.1</v>
      </c>
      <c r="K19" s="2" t="s">
        <v>26</v>
      </c>
      <c r="L19" s="2" t="s">
        <v>70</v>
      </c>
      <c r="M19">
        <v>126</v>
      </c>
      <c r="N19">
        <v>12.600000000000001</v>
      </c>
      <c r="O19">
        <v>113.4</v>
      </c>
    </row>
    <row r="20" spans="1:15">
      <c r="A20">
        <v>10019</v>
      </c>
      <c r="B20" s="1">
        <v>45744</v>
      </c>
      <c r="C20" s="2" t="s">
        <v>28</v>
      </c>
      <c r="D20" s="2" t="s">
        <v>46</v>
      </c>
      <c r="E20" s="2" t="s">
        <v>17</v>
      </c>
      <c r="F20" s="2" t="s">
        <v>54</v>
      </c>
      <c r="G20" s="2" t="s">
        <v>51</v>
      </c>
      <c r="H20">
        <v>4</v>
      </c>
      <c r="I20">
        <v>180</v>
      </c>
      <c r="J20">
        <v>0</v>
      </c>
      <c r="K20" s="2" t="s">
        <v>32</v>
      </c>
      <c r="L20" s="2" t="s">
        <v>71</v>
      </c>
      <c r="M20">
        <v>720</v>
      </c>
      <c r="N20">
        <v>0</v>
      </c>
      <c r="O20">
        <v>720</v>
      </c>
    </row>
    <row r="21" spans="1:15">
      <c r="A21">
        <v>10020</v>
      </c>
      <c r="B21" s="1">
        <v>45779</v>
      </c>
      <c r="C21" s="2" t="s">
        <v>34</v>
      </c>
      <c r="D21" s="2" t="s">
        <v>49</v>
      </c>
      <c r="E21" s="2" t="s">
        <v>24</v>
      </c>
      <c r="F21" s="2" t="s">
        <v>57</v>
      </c>
      <c r="G21" s="2" t="s">
        <v>19</v>
      </c>
      <c r="H21">
        <v>3</v>
      </c>
      <c r="I21">
        <v>2500</v>
      </c>
      <c r="J21">
        <v>0.05</v>
      </c>
      <c r="K21" s="2" t="s">
        <v>37</v>
      </c>
      <c r="L21" s="2" t="s">
        <v>72</v>
      </c>
      <c r="M21">
        <v>7500</v>
      </c>
      <c r="N21">
        <v>375</v>
      </c>
      <c r="O21">
        <v>7125</v>
      </c>
    </row>
    <row r="22" spans="1:15">
      <c r="A22">
        <v>10021</v>
      </c>
      <c r="B22" s="1">
        <v>45808</v>
      </c>
      <c r="C22" s="2" t="s">
        <v>15</v>
      </c>
      <c r="D22" s="2" t="s">
        <v>53</v>
      </c>
      <c r="E22" s="2" t="s">
        <v>30</v>
      </c>
      <c r="F22" s="2" t="s">
        <v>18</v>
      </c>
      <c r="G22" s="2" t="s">
        <v>19</v>
      </c>
      <c r="H22">
        <v>7</v>
      </c>
      <c r="I22">
        <v>61750</v>
      </c>
      <c r="J22">
        <v>0.1</v>
      </c>
      <c r="K22" s="2" t="s">
        <v>20</v>
      </c>
      <c r="L22" s="2" t="s">
        <v>73</v>
      </c>
      <c r="M22">
        <v>432250</v>
      </c>
      <c r="N22">
        <v>43225</v>
      </c>
      <c r="O22">
        <v>389025</v>
      </c>
    </row>
    <row r="23" spans="1:15">
      <c r="A23">
        <v>10022</v>
      </c>
      <c r="B23" s="1">
        <v>45714</v>
      </c>
      <c r="C23" s="2" t="s">
        <v>22</v>
      </c>
      <c r="D23" s="2" t="s">
        <v>56</v>
      </c>
      <c r="E23" s="2" t="s">
        <v>17</v>
      </c>
      <c r="F23" s="2" t="s">
        <v>25</v>
      </c>
      <c r="G23" s="2" t="s">
        <v>19</v>
      </c>
      <c r="H23">
        <v>5</v>
      </c>
      <c r="I23">
        <v>11400</v>
      </c>
      <c r="J23">
        <v>0.15</v>
      </c>
      <c r="K23" s="2" t="s">
        <v>26</v>
      </c>
      <c r="L23" s="2" t="s">
        <v>74</v>
      </c>
      <c r="M23">
        <v>57000</v>
      </c>
      <c r="N23">
        <v>8550</v>
      </c>
      <c r="O23">
        <v>48450</v>
      </c>
    </row>
    <row r="24" spans="1:15">
      <c r="A24">
        <v>10023</v>
      </c>
      <c r="B24" s="1">
        <v>45803</v>
      </c>
      <c r="C24" s="2" t="s">
        <v>28</v>
      </c>
      <c r="D24" s="2" t="s">
        <v>59</v>
      </c>
      <c r="E24" s="2" t="s">
        <v>24</v>
      </c>
      <c r="F24" s="2" t="s">
        <v>31</v>
      </c>
      <c r="G24" s="2" t="s">
        <v>19</v>
      </c>
      <c r="H24">
        <v>6</v>
      </c>
      <c r="I24">
        <v>1800</v>
      </c>
      <c r="J24">
        <v>0.2</v>
      </c>
      <c r="K24" s="2" t="s">
        <v>32</v>
      </c>
      <c r="L24" s="2" t="s">
        <v>75</v>
      </c>
      <c r="M24">
        <v>10800</v>
      </c>
      <c r="N24">
        <v>2160</v>
      </c>
      <c r="O24">
        <v>8640</v>
      </c>
    </row>
    <row r="25" spans="1:15">
      <c r="A25">
        <v>10024</v>
      </c>
      <c r="B25" s="1">
        <v>45710</v>
      </c>
      <c r="C25" s="2" t="s">
        <v>34</v>
      </c>
      <c r="D25" s="2" t="s">
        <v>61</v>
      </c>
      <c r="E25" s="2" t="s">
        <v>30</v>
      </c>
      <c r="F25" s="2" t="s">
        <v>36</v>
      </c>
      <c r="G25" s="2" t="s">
        <v>19</v>
      </c>
      <c r="H25">
        <v>6</v>
      </c>
      <c r="I25">
        <v>840</v>
      </c>
      <c r="J25">
        <v>0.05</v>
      </c>
      <c r="K25" s="2" t="s">
        <v>37</v>
      </c>
      <c r="L25" s="2" t="s">
        <v>76</v>
      </c>
      <c r="M25">
        <v>5040</v>
      </c>
      <c r="N25">
        <v>252</v>
      </c>
      <c r="O25">
        <v>4788</v>
      </c>
    </row>
    <row r="26" spans="1:15">
      <c r="A26">
        <v>10025</v>
      </c>
      <c r="B26" s="1">
        <v>45683</v>
      </c>
      <c r="C26" s="2" t="s">
        <v>15</v>
      </c>
      <c r="D26" s="2" t="s">
        <v>16</v>
      </c>
      <c r="E26" s="2" t="s">
        <v>17</v>
      </c>
      <c r="F26" s="2" t="s">
        <v>40</v>
      </c>
      <c r="G26" s="2" t="s">
        <v>41</v>
      </c>
      <c r="H26">
        <v>2</v>
      </c>
      <c r="I26">
        <v>8500</v>
      </c>
      <c r="J26">
        <v>0.15</v>
      </c>
      <c r="K26" s="2" t="s">
        <v>20</v>
      </c>
      <c r="L26" s="2" t="s">
        <v>77</v>
      </c>
      <c r="M26">
        <v>17000</v>
      </c>
      <c r="N26">
        <v>2550</v>
      </c>
      <c r="O26">
        <v>14450</v>
      </c>
    </row>
    <row r="27" spans="1:15">
      <c r="A27">
        <v>10026</v>
      </c>
      <c r="B27" s="1">
        <v>45659</v>
      </c>
      <c r="C27" s="2" t="s">
        <v>22</v>
      </c>
      <c r="D27" s="2" t="s">
        <v>23</v>
      </c>
      <c r="E27" s="2" t="s">
        <v>24</v>
      </c>
      <c r="F27" s="2" t="s">
        <v>44</v>
      </c>
      <c r="G27" s="2" t="s">
        <v>41</v>
      </c>
      <c r="H27">
        <v>6</v>
      </c>
      <c r="I27">
        <v>14700</v>
      </c>
      <c r="J27">
        <v>0</v>
      </c>
      <c r="K27" s="2" t="s">
        <v>26</v>
      </c>
      <c r="L27" s="2" t="s">
        <v>78</v>
      </c>
      <c r="M27">
        <v>88200</v>
      </c>
      <c r="N27">
        <v>0</v>
      </c>
      <c r="O27">
        <v>88200</v>
      </c>
    </row>
    <row r="28" spans="1:15">
      <c r="A28">
        <v>10027</v>
      </c>
      <c r="B28" s="1">
        <v>45778</v>
      </c>
      <c r="C28" s="2" t="s">
        <v>28</v>
      </c>
      <c r="D28" s="2" t="s">
        <v>29</v>
      </c>
      <c r="E28" s="2" t="s">
        <v>30</v>
      </c>
      <c r="F28" s="2" t="s">
        <v>47</v>
      </c>
      <c r="G28" s="2" t="s">
        <v>19</v>
      </c>
      <c r="H28">
        <v>6</v>
      </c>
      <c r="I28">
        <v>11550</v>
      </c>
      <c r="J28">
        <v>0.15</v>
      </c>
      <c r="K28" s="2" t="s">
        <v>32</v>
      </c>
      <c r="L28" s="2" t="s">
        <v>79</v>
      </c>
      <c r="M28">
        <v>69300</v>
      </c>
      <c r="N28">
        <v>10395</v>
      </c>
      <c r="O28">
        <v>58905</v>
      </c>
    </row>
    <row r="29" spans="1:15">
      <c r="A29">
        <v>10028</v>
      </c>
      <c r="B29" s="1">
        <v>45799</v>
      </c>
      <c r="C29" s="2" t="s">
        <v>34</v>
      </c>
      <c r="D29" s="2" t="s">
        <v>35</v>
      </c>
      <c r="E29" s="2" t="s">
        <v>17</v>
      </c>
      <c r="F29" s="2" t="s">
        <v>50</v>
      </c>
      <c r="G29" s="2" t="s">
        <v>51</v>
      </c>
      <c r="H29">
        <v>4</v>
      </c>
      <c r="I29">
        <v>120</v>
      </c>
      <c r="J29">
        <v>0.15</v>
      </c>
      <c r="K29" s="2" t="s">
        <v>37</v>
      </c>
      <c r="L29" s="2" t="s">
        <v>80</v>
      </c>
      <c r="M29">
        <v>480</v>
      </c>
      <c r="N29">
        <v>72</v>
      </c>
      <c r="O29">
        <v>408</v>
      </c>
    </row>
    <row r="30" spans="1:15">
      <c r="A30">
        <v>10029</v>
      </c>
      <c r="B30" s="1">
        <v>45760</v>
      </c>
      <c r="C30" s="2" t="s">
        <v>15</v>
      </c>
      <c r="D30" s="2" t="s">
        <v>39</v>
      </c>
      <c r="E30" s="2" t="s">
        <v>24</v>
      </c>
      <c r="F30" s="2" t="s">
        <v>54</v>
      </c>
      <c r="G30" s="2" t="s">
        <v>51</v>
      </c>
      <c r="H30">
        <v>4</v>
      </c>
      <c r="I30">
        <v>180</v>
      </c>
      <c r="J30">
        <v>0.1</v>
      </c>
      <c r="K30" s="2" t="s">
        <v>20</v>
      </c>
      <c r="L30" s="2" t="s">
        <v>81</v>
      </c>
      <c r="M30">
        <v>720</v>
      </c>
      <c r="N30">
        <v>72</v>
      </c>
      <c r="O30">
        <v>648</v>
      </c>
    </row>
    <row r="31" spans="1:15">
      <c r="A31">
        <v>10030</v>
      </c>
      <c r="B31" s="1">
        <v>45678</v>
      </c>
      <c r="C31" s="2" t="s">
        <v>22</v>
      </c>
      <c r="D31" s="2" t="s">
        <v>68</v>
      </c>
      <c r="E31" s="2" t="s">
        <v>30</v>
      </c>
      <c r="F31" s="2" t="s">
        <v>57</v>
      </c>
      <c r="G31" s="2" t="s">
        <v>19</v>
      </c>
      <c r="H31">
        <v>1</v>
      </c>
      <c r="I31">
        <v>2375</v>
      </c>
      <c r="J31">
        <v>0</v>
      </c>
      <c r="K31" s="2" t="s">
        <v>26</v>
      </c>
      <c r="L31" s="2" t="s">
        <v>82</v>
      </c>
      <c r="M31">
        <v>2375</v>
      </c>
      <c r="N31">
        <v>0</v>
      </c>
      <c r="O31">
        <v>2375</v>
      </c>
    </row>
    <row r="32" spans="1:15">
      <c r="A32">
        <v>10031</v>
      </c>
      <c r="B32" s="1">
        <v>45743</v>
      </c>
      <c r="C32" s="2" t="s">
        <v>28</v>
      </c>
      <c r="D32" s="2" t="s">
        <v>46</v>
      </c>
      <c r="E32" s="2" t="s">
        <v>17</v>
      </c>
      <c r="F32" s="2" t="s">
        <v>18</v>
      </c>
      <c r="G32" s="2" t="s">
        <v>19</v>
      </c>
      <c r="H32">
        <v>4</v>
      </c>
      <c r="I32">
        <v>65000</v>
      </c>
      <c r="J32">
        <v>0.15</v>
      </c>
      <c r="K32" s="2" t="s">
        <v>32</v>
      </c>
      <c r="L32" s="2" t="s">
        <v>83</v>
      </c>
      <c r="M32">
        <v>260000</v>
      </c>
      <c r="N32">
        <v>39000</v>
      </c>
      <c r="O32">
        <v>221000</v>
      </c>
    </row>
    <row r="33" spans="1:15">
      <c r="A33">
        <v>10032</v>
      </c>
      <c r="B33" s="1">
        <v>45796</v>
      </c>
      <c r="C33" s="2" t="s">
        <v>34</v>
      </c>
      <c r="D33" s="2" t="s">
        <v>49</v>
      </c>
      <c r="E33" s="2" t="s">
        <v>24</v>
      </c>
      <c r="F33" s="2" t="s">
        <v>25</v>
      </c>
      <c r="G33" s="2" t="s">
        <v>19</v>
      </c>
      <c r="H33">
        <v>-2</v>
      </c>
      <c r="I33">
        <v>11400</v>
      </c>
      <c r="J33">
        <v>0.1</v>
      </c>
      <c r="K33" s="2" t="s">
        <v>37</v>
      </c>
      <c r="L33" s="2" t="s">
        <v>84</v>
      </c>
      <c r="M33">
        <v>68400</v>
      </c>
      <c r="N33">
        <v>6840</v>
      </c>
      <c r="O33">
        <v>61560</v>
      </c>
    </row>
    <row r="34" spans="1:15">
      <c r="A34">
        <v>10033</v>
      </c>
      <c r="B34" s="1">
        <v>45758</v>
      </c>
      <c r="C34" s="2" t="s">
        <v>15</v>
      </c>
      <c r="D34" s="2" t="s">
        <v>53</v>
      </c>
      <c r="E34" s="2" t="s">
        <v>30</v>
      </c>
      <c r="F34" s="2" t="s">
        <v>31</v>
      </c>
      <c r="G34" s="2" t="s">
        <v>19</v>
      </c>
      <c r="H34">
        <v>5</v>
      </c>
      <c r="I34">
        <v>1800</v>
      </c>
      <c r="J34">
        <v>0.15</v>
      </c>
      <c r="K34" s="2" t="s">
        <v>20</v>
      </c>
      <c r="L34" s="2" t="s">
        <v>85</v>
      </c>
      <c r="M34">
        <v>9000</v>
      </c>
      <c r="N34">
        <v>1350</v>
      </c>
      <c r="O34">
        <v>7650</v>
      </c>
    </row>
    <row r="35" spans="1:15">
      <c r="A35">
        <v>10034</v>
      </c>
      <c r="B35" s="1">
        <v>45713</v>
      </c>
      <c r="C35" s="2" t="s">
        <v>22</v>
      </c>
      <c r="D35" s="2" t="s">
        <v>56</v>
      </c>
      <c r="E35" s="2" t="s">
        <v>17</v>
      </c>
      <c r="F35" s="2" t="s">
        <v>36</v>
      </c>
      <c r="G35" s="2" t="s">
        <v>19</v>
      </c>
      <c r="H35">
        <v>1</v>
      </c>
      <c r="I35">
        <v>840</v>
      </c>
      <c r="J35">
        <v>0.1</v>
      </c>
      <c r="K35" s="2" t="s">
        <v>26</v>
      </c>
      <c r="L35" s="2" t="s">
        <v>86</v>
      </c>
      <c r="M35">
        <v>840</v>
      </c>
      <c r="N35">
        <v>84</v>
      </c>
      <c r="O35">
        <v>756</v>
      </c>
    </row>
    <row r="36" spans="1:15">
      <c r="A36">
        <v>10035</v>
      </c>
      <c r="B36" s="1">
        <v>45737</v>
      </c>
      <c r="C36" s="2" t="s">
        <v>28</v>
      </c>
      <c r="D36" s="2" t="s">
        <v>59</v>
      </c>
      <c r="E36" s="2" t="s">
        <v>24</v>
      </c>
      <c r="F36" s="2" t="s">
        <v>40</v>
      </c>
      <c r="G36" s="2" t="s">
        <v>41</v>
      </c>
      <c r="H36">
        <v>5</v>
      </c>
      <c r="I36">
        <v>8500</v>
      </c>
      <c r="J36">
        <v>0</v>
      </c>
      <c r="K36" s="2" t="s">
        <v>32</v>
      </c>
      <c r="L36" s="2" t="s">
        <v>87</v>
      </c>
      <c r="M36">
        <v>42500</v>
      </c>
      <c r="N36">
        <v>0</v>
      </c>
      <c r="O36">
        <v>42500</v>
      </c>
    </row>
    <row r="37" spans="1:15">
      <c r="A37">
        <v>10036</v>
      </c>
      <c r="B37" s="1">
        <v>45731</v>
      </c>
      <c r="C37" s="2" t="s">
        <v>34</v>
      </c>
      <c r="D37" s="2" t="s">
        <v>61</v>
      </c>
      <c r="E37" s="2" t="s">
        <v>30</v>
      </c>
      <c r="F37" s="2" t="s">
        <v>44</v>
      </c>
      <c r="G37" s="2" t="s">
        <v>41</v>
      </c>
      <c r="H37">
        <v>7</v>
      </c>
      <c r="I37">
        <v>14000</v>
      </c>
      <c r="J37">
        <v>0.05</v>
      </c>
      <c r="K37" s="2" t="s">
        <v>37</v>
      </c>
      <c r="L37" s="2" t="s">
        <v>88</v>
      </c>
      <c r="M37">
        <v>98000</v>
      </c>
      <c r="N37">
        <v>4900</v>
      </c>
      <c r="O37">
        <v>93100</v>
      </c>
    </row>
    <row r="38" spans="1:15">
      <c r="A38">
        <v>10037</v>
      </c>
      <c r="B38" s="1">
        <v>45700</v>
      </c>
      <c r="C38" s="2" t="s">
        <v>15</v>
      </c>
      <c r="D38" s="2" t="s">
        <v>16</v>
      </c>
      <c r="E38" s="2" t="s">
        <v>17</v>
      </c>
      <c r="F38" s="2" t="s">
        <v>47</v>
      </c>
      <c r="G38" s="2" t="s">
        <v>19</v>
      </c>
      <c r="H38">
        <v>7</v>
      </c>
      <c r="I38">
        <v>10450</v>
      </c>
      <c r="J38">
        <v>0.2</v>
      </c>
      <c r="K38" s="2" t="s">
        <v>20</v>
      </c>
      <c r="L38" s="2" t="s">
        <v>89</v>
      </c>
      <c r="M38">
        <v>73150</v>
      </c>
      <c r="N38">
        <v>14630</v>
      </c>
      <c r="O38">
        <v>58520</v>
      </c>
    </row>
    <row r="39" spans="1:15">
      <c r="A39">
        <v>10038</v>
      </c>
      <c r="B39" s="1">
        <v>45708</v>
      </c>
      <c r="C39" s="2" t="s">
        <v>22</v>
      </c>
      <c r="D39" s="2" t="s">
        <v>23</v>
      </c>
      <c r="E39" s="2" t="s">
        <v>24</v>
      </c>
      <c r="F39" s="2" t="s">
        <v>50</v>
      </c>
      <c r="G39" s="2" t="s">
        <v>51</v>
      </c>
      <c r="H39">
        <v>6</v>
      </c>
      <c r="I39">
        <v>126</v>
      </c>
      <c r="J39">
        <v>0</v>
      </c>
      <c r="K39" s="2" t="s">
        <v>26</v>
      </c>
      <c r="L39" s="2" t="s">
        <v>90</v>
      </c>
      <c r="M39">
        <v>756</v>
      </c>
      <c r="N39">
        <v>0</v>
      </c>
      <c r="O39">
        <v>756</v>
      </c>
    </row>
    <row r="40" spans="1:15">
      <c r="A40">
        <v>10039</v>
      </c>
      <c r="B40" s="1">
        <v>45777</v>
      </c>
      <c r="C40" s="2" t="s">
        <v>28</v>
      </c>
      <c r="D40" s="2" t="s">
        <v>29</v>
      </c>
      <c r="E40" s="2" t="s">
        <v>30</v>
      </c>
      <c r="F40" s="2" t="s">
        <v>54</v>
      </c>
      <c r="G40" s="2" t="s">
        <v>51</v>
      </c>
      <c r="H40">
        <v>7</v>
      </c>
      <c r="I40">
        <v>180</v>
      </c>
      <c r="J40">
        <v>0.05</v>
      </c>
      <c r="K40" s="2" t="s">
        <v>32</v>
      </c>
      <c r="L40" s="2" t="s">
        <v>91</v>
      </c>
      <c r="M40">
        <v>1260</v>
      </c>
      <c r="N40">
        <v>63</v>
      </c>
      <c r="O40">
        <v>1197</v>
      </c>
    </row>
    <row r="41" spans="1:15">
      <c r="A41">
        <v>10040</v>
      </c>
      <c r="B41" s="1">
        <v>45799</v>
      </c>
      <c r="C41" s="2" t="s">
        <v>34</v>
      </c>
      <c r="D41" s="2" t="s">
        <v>35</v>
      </c>
      <c r="E41" s="2" t="s">
        <v>17</v>
      </c>
      <c r="F41" s="2" t="s">
        <v>57</v>
      </c>
      <c r="G41" s="2" t="s">
        <v>19</v>
      </c>
      <c r="H41">
        <v>1</v>
      </c>
      <c r="I41">
        <v>2500</v>
      </c>
      <c r="J41">
        <v>0.1</v>
      </c>
      <c r="K41" s="2" t="s">
        <v>37</v>
      </c>
      <c r="L41" s="2" t="s">
        <v>92</v>
      </c>
      <c r="M41">
        <v>2500</v>
      </c>
      <c r="N41">
        <v>250</v>
      </c>
      <c r="O41">
        <v>2250</v>
      </c>
    </row>
    <row r="42" spans="1:15">
      <c r="A42">
        <v>10041</v>
      </c>
      <c r="B42" s="1">
        <v>45731</v>
      </c>
      <c r="C42" s="2" t="s">
        <v>15</v>
      </c>
      <c r="D42" s="2" t="s">
        <v>39</v>
      </c>
      <c r="E42" s="2" t="s">
        <v>24</v>
      </c>
      <c r="F42" s="2" t="s">
        <v>18</v>
      </c>
      <c r="G42" s="2" t="s">
        <v>19</v>
      </c>
      <c r="H42">
        <v>7</v>
      </c>
      <c r="I42">
        <v>65000</v>
      </c>
      <c r="J42">
        <v>0.15</v>
      </c>
      <c r="K42" s="2" t="s">
        <v>20</v>
      </c>
      <c r="L42" s="2" t="s">
        <v>93</v>
      </c>
      <c r="M42">
        <v>455000</v>
      </c>
      <c r="N42">
        <v>68250</v>
      </c>
      <c r="O42">
        <v>386750</v>
      </c>
    </row>
    <row r="43" spans="1:15">
      <c r="A43">
        <v>10042</v>
      </c>
      <c r="B43" s="1">
        <v>45688</v>
      </c>
      <c r="C43" s="2" t="s">
        <v>22</v>
      </c>
      <c r="D43" s="2" t="s">
        <v>68</v>
      </c>
      <c r="E43" s="2" t="s">
        <v>30</v>
      </c>
      <c r="F43" s="2" t="s">
        <v>25</v>
      </c>
      <c r="G43" s="2" t="s">
        <v>19</v>
      </c>
      <c r="H43">
        <v>3</v>
      </c>
      <c r="I43">
        <v>12000</v>
      </c>
      <c r="J43">
        <v>0.2</v>
      </c>
      <c r="K43" s="2" t="s">
        <v>26</v>
      </c>
      <c r="L43" s="2" t="s">
        <v>94</v>
      </c>
      <c r="M43">
        <v>36000</v>
      </c>
      <c r="N43">
        <v>7200</v>
      </c>
      <c r="O43">
        <v>28800</v>
      </c>
    </row>
    <row r="44" spans="1:15">
      <c r="A44">
        <v>10043</v>
      </c>
      <c r="B44" s="1">
        <v>45674</v>
      </c>
      <c r="C44" s="2" t="s">
        <v>28</v>
      </c>
      <c r="D44" s="2" t="s">
        <v>46</v>
      </c>
      <c r="E44" s="2" t="s">
        <v>17</v>
      </c>
      <c r="F44" s="2" t="s">
        <v>31</v>
      </c>
      <c r="G44" s="2" t="s">
        <v>19</v>
      </c>
      <c r="H44">
        <v>3</v>
      </c>
      <c r="I44">
        <v>1710</v>
      </c>
      <c r="J44">
        <v>0</v>
      </c>
      <c r="K44" s="2" t="s">
        <v>32</v>
      </c>
      <c r="L44" s="2" t="s">
        <v>95</v>
      </c>
      <c r="M44">
        <v>5130</v>
      </c>
      <c r="N44">
        <v>0</v>
      </c>
      <c r="O44">
        <v>5130</v>
      </c>
    </row>
    <row r="45" spans="1:15">
      <c r="A45">
        <v>10044</v>
      </c>
      <c r="B45" s="1">
        <v>45741</v>
      </c>
      <c r="C45" s="2" t="s">
        <v>34</v>
      </c>
      <c r="D45" s="2" t="s">
        <v>49</v>
      </c>
      <c r="E45" s="2" t="s">
        <v>24</v>
      </c>
      <c r="F45" s="2" t="s">
        <v>36</v>
      </c>
      <c r="G45" s="2" t="s">
        <v>19</v>
      </c>
      <c r="H45">
        <v>6</v>
      </c>
      <c r="I45">
        <v>800</v>
      </c>
      <c r="J45">
        <v>0.15</v>
      </c>
      <c r="K45" s="2" t="s">
        <v>37</v>
      </c>
      <c r="L45" s="2" t="s">
        <v>96</v>
      </c>
      <c r="M45">
        <v>4800</v>
      </c>
      <c r="N45">
        <v>720</v>
      </c>
      <c r="O45">
        <v>4080</v>
      </c>
    </row>
    <row r="46" spans="1:15">
      <c r="A46">
        <v>10045</v>
      </c>
      <c r="B46" s="1">
        <v>45748</v>
      </c>
      <c r="C46" s="2" t="s">
        <v>15</v>
      </c>
      <c r="D46" s="2" t="s">
        <v>53</v>
      </c>
      <c r="E46" s="2" t="s">
        <v>30</v>
      </c>
      <c r="F46" s="2" t="s">
        <v>40</v>
      </c>
      <c r="G46" s="2" t="s">
        <v>41</v>
      </c>
      <c r="H46">
        <v>6</v>
      </c>
      <c r="J46">
        <v>0</v>
      </c>
      <c r="K46" s="2" t="s">
        <v>20</v>
      </c>
      <c r="L46" s="2" t="s">
        <v>97</v>
      </c>
      <c r="M46">
        <v>53550</v>
      </c>
      <c r="N46">
        <v>0</v>
      </c>
      <c r="O46">
        <v>53550</v>
      </c>
    </row>
    <row r="47" spans="1:15">
      <c r="A47">
        <v>10046</v>
      </c>
      <c r="B47" s="1">
        <v>45784</v>
      </c>
      <c r="C47" s="2" t="s">
        <v>22</v>
      </c>
      <c r="D47" s="2" t="s">
        <v>56</v>
      </c>
      <c r="E47" s="2" t="s">
        <v>17</v>
      </c>
      <c r="F47" s="2" t="s">
        <v>44</v>
      </c>
      <c r="G47" s="2" t="s">
        <v>41</v>
      </c>
      <c r="H47">
        <v>7</v>
      </c>
      <c r="I47">
        <v>14000</v>
      </c>
      <c r="J47">
        <v>0</v>
      </c>
      <c r="K47" s="2" t="s">
        <v>26</v>
      </c>
      <c r="L47" s="2" t="s">
        <v>98</v>
      </c>
      <c r="M47">
        <v>98000</v>
      </c>
      <c r="N47">
        <v>0</v>
      </c>
      <c r="O47">
        <v>98000</v>
      </c>
    </row>
    <row r="48" spans="1:15">
      <c r="A48">
        <v>10047</v>
      </c>
      <c r="B48" s="1">
        <v>45726</v>
      </c>
      <c r="C48" s="2" t="s">
        <v>28</v>
      </c>
      <c r="D48" s="2" t="s">
        <v>59</v>
      </c>
      <c r="E48" s="2" t="s">
        <v>24</v>
      </c>
      <c r="F48" s="2" t="s">
        <v>47</v>
      </c>
      <c r="G48" s="2" t="s">
        <v>19</v>
      </c>
      <c r="H48">
        <v>4</v>
      </c>
      <c r="I48">
        <v>10450</v>
      </c>
      <c r="J48">
        <v>0.1</v>
      </c>
      <c r="K48" s="2" t="s">
        <v>32</v>
      </c>
      <c r="L48" s="2" t="s">
        <v>99</v>
      </c>
      <c r="M48">
        <v>41800</v>
      </c>
      <c r="N48">
        <v>4180</v>
      </c>
      <c r="O48">
        <v>37620</v>
      </c>
    </row>
    <row r="49" spans="1:15">
      <c r="A49">
        <v>10048</v>
      </c>
      <c r="B49" s="1">
        <v>45772</v>
      </c>
      <c r="C49" s="2" t="s">
        <v>34</v>
      </c>
      <c r="D49" s="2" t="s">
        <v>61</v>
      </c>
      <c r="E49" s="2" t="s">
        <v>30</v>
      </c>
      <c r="F49" s="2" t="s">
        <v>50</v>
      </c>
      <c r="G49" s="2" t="s">
        <v>51</v>
      </c>
      <c r="H49">
        <v>2</v>
      </c>
      <c r="I49">
        <v>120</v>
      </c>
      <c r="J49">
        <v>0.05</v>
      </c>
      <c r="K49" s="2" t="s">
        <v>37</v>
      </c>
      <c r="L49" s="2" t="s">
        <v>100</v>
      </c>
      <c r="M49">
        <v>240</v>
      </c>
      <c r="N49">
        <v>12</v>
      </c>
      <c r="O49">
        <v>228</v>
      </c>
    </row>
    <row r="50" spans="1:15">
      <c r="A50">
        <v>10049</v>
      </c>
      <c r="B50" s="1">
        <v>45673</v>
      </c>
      <c r="C50" s="2" t="s">
        <v>15</v>
      </c>
      <c r="D50" s="2" t="s">
        <v>16</v>
      </c>
      <c r="E50" s="2" t="s">
        <v>17</v>
      </c>
      <c r="F50" s="2" t="s">
        <v>54</v>
      </c>
      <c r="G50" s="2" t="s">
        <v>51</v>
      </c>
      <c r="H50">
        <v>5</v>
      </c>
      <c r="I50">
        <v>189</v>
      </c>
      <c r="J50">
        <v>0.05</v>
      </c>
      <c r="K50" s="2" t="s">
        <v>20</v>
      </c>
      <c r="L50" s="2" t="s">
        <v>101</v>
      </c>
      <c r="M50">
        <v>945</v>
      </c>
      <c r="N50">
        <v>47.25</v>
      </c>
      <c r="O50">
        <v>897.75</v>
      </c>
    </row>
    <row r="51" spans="1:15">
      <c r="A51">
        <v>10050</v>
      </c>
      <c r="B51" s="1">
        <v>45832</v>
      </c>
      <c r="C51" s="2" t="s">
        <v>22</v>
      </c>
      <c r="D51" s="2" t="s">
        <v>23</v>
      </c>
      <c r="E51" s="2" t="s">
        <v>24</v>
      </c>
      <c r="F51" s="2" t="s">
        <v>57</v>
      </c>
      <c r="G51" s="2" t="s">
        <v>19</v>
      </c>
      <c r="H51">
        <v>3</v>
      </c>
      <c r="I51">
        <v>2500</v>
      </c>
      <c r="J51">
        <v>0</v>
      </c>
      <c r="K51" s="2" t="s">
        <v>26</v>
      </c>
      <c r="L51" s="2" t="s">
        <v>102</v>
      </c>
      <c r="M51">
        <v>7500</v>
      </c>
      <c r="N51">
        <v>0</v>
      </c>
      <c r="O51">
        <v>7500</v>
      </c>
    </row>
    <row r="52" spans="1:15">
      <c r="A52">
        <v>10051</v>
      </c>
      <c r="B52" s="1">
        <v>45784</v>
      </c>
      <c r="C52" s="2" t="s">
        <v>28</v>
      </c>
      <c r="D52" s="2" t="s">
        <v>29</v>
      </c>
      <c r="E52" s="2" t="s">
        <v>30</v>
      </c>
      <c r="F52" s="2" t="s">
        <v>18</v>
      </c>
      <c r="G52" s="2" t="s">
        <v>19</v>
      </c>
      <c r="H52">
        <v>3</v>
      </c>
      <c r="I52">
        <v>65000</v>
      </c>
      <c r="J52">
        <v>0.2</v>
      </c>
      <c r="K52" s="2" t="s">
        <v>32</v>
      </c>
      <c r="L52" s="2" t="s">
        <v>103</v>
      </c>
      <c r="M52">
        <v>195000</v>
      </c>
      <c r="N52">
        <v>39000</v>
      </c>
      <c r="O52">
        <v>156000</v>
      </c>
    </row>
    <row r="53" spans="1:15">
      <c r="A53">
        <v>10052</v>
      </c>
      <c r="B53" s="1">
        <v>45833</v>
      </c>
      <c r="C53" s="2" t="s">
        <v>34</v>
      </c>
      <c r="D53" s="2" t="s">
        <v>35</v>
      </c>
      <c r="E53" s="2" t="s">
        <v>17</v>
      </c>
      <c r="F53" s="2" t="s">
        <v>25</v>
      </c>
      <c r="G53" s="2" t="s">
        <v>19</v>
      </c>
      <c r="H53">
        <v>4</v>
      </c>
      <c r="I53">
        <v>12600</v>
      </c>
      <c r="J53">
        <v>0.05</v>
      </c>
      <c r="K53" s="2" t="s">
        <v>37</v>
      </c>
      <c r="L53" s="2" t="s">
        <v>104</v>
      </c>
      <c r="M53">
        <v>50400</v>
      </c>
      <c r="N53">
        <v>2520</v>
      </c>
      <c r="O53">
        <v>47880</v>
      </c>
    </row>
    <row r="54" spans="1:15">
      <c r="A54">
        <v>10053</v>
      </c>
      <c r="B54" s="1">
        <v>45787</v>
      </c>
      <c r="C54" s="2" t="s">
        <v>15</v>
      </c>
      <c r="D54" s="2" t="s">
        <v>39</v>
      </c>
      <c r="E54" s="2" t="s">
        <v>24</v>
      </c>
      <c r="F54" s="2" t="s">
        <v>31</v>
      </c>
      <c r="G54" s="2" t="s">
        <v>19</v>
      </c>
      <c r="H54">
        <v>2</v>
      </c>
      <c r="I54">
        <v>1800</v>
      </c>
      <c r="J54">
        <v>0.15</v>
      </c>
      <c r="K54" s="2" t="s">
        <v>20</v>
      </c>
      <c r="L54" s="2" t="s">
        <v>105</v>
      </c>
      <c r="M54">
        <v>3600</v>
      </c>
      <c r="N54">
        <v>540</v>
      </c>
      <c r="O54">
        <v>3060</v>
      </c>
    </row>
    <row r="55" spans="1:15">
      <c r="A55">
        <v>10054</v>
      </c>
      <c r="B55" s="1">
        <v>45707</v>
      </c>
      <c r="C55" s="2" t="s">
        <v>22</v>
      </c>
      <c r="D55" s="2" t="s">
        <v>68</v>
      </c>
      <c r="E55" s="2" t="s">
        <v>30</v>
      </c>
      <c r="F55" s="2" t="s">
        <v>36</v>
      </c>
      <c r="G55" s="2" t="s">
        <v>19</v>
      </c>
      <c r="H55">
        <v>6</v>
      </c>
      <c r="I55">
        <v>800</v>
      </c>
      <c r="J55">
        <v>0.1</v>
      </c>
      <c r="K55" s="2" t="s">
        <v>26</v>
      </c>
      <c r="L55" s="2" t="s">
        <v>106</v>
      </c>
      <c r="M55">
        <v>4800</v>
      </c>
      <c r="N55">
        <v>480</v>
      </c>
      <c r="O55">
        <v>4320</v>
      </c>
    </row>
    <row r="56" spans="1:15">
      <c r="A56">
        <v>10055</v>
      </c>
      <c r="B56" s="1">
        <v>45821</v>
      </c>
      <c r="C56" s="2" t="s">
        <v>28</v>
      </c>
      <c r="D56" s="2" t="s">
        <v>46</v>
      </c>
      <c r="E56" s="2" t="s">
        <v>17</v>
      </c>
      <c r="F56" s="2" t="s">
        <v>40</v>
      </c>
      <c r="G56" s="2" t="s">
        <v>41</v>
      </c>
      <c r="H56">
        <v>1</v>
      </c>
      <c r="I56">
        <v>8500</v>
      </c>
      <c r="J56">
        <v>0</v>
      </c>
      <c r="K56" s="2" t="s">
        <v>32</v>
      </c>
      <c r="L56" s="2" t="s">
        <v>107</v>
      </c>
      <c r="M56">
        <v>8500</v>
      </c>
      <c r="N56">
        <v>0</v>
      </c>
      <c r="O56">
        <v>8500</v>
      </c>
    </row>
    <row r="57" spans="1:15">
      <c r="A57">
        <v>10056</v>
      </c>
      <c r="B57" s="1">
        <v>45694</v>
      </c>
      <c r="C57" s="2" t="s">
        <v>34</v>
      </c>
      <c r="D57" s="2" t="s">
        <v>49</v>
      </c>
      <c r="E57" s="2" t="s">
        <v>24</v>
      </c>
      <c r="F57" s="2" t="s">
        <v>44</v>
      </c>
      <c r="G57" s="2" t="s">
        <v>41</v>
      </c>
      <c r="H57">
        <v>1</v>
      </c>
      <c r="I57">
        <v>14000</v>
      </c>
      <c r="J57">
        <v>0.1</v>
      </c>
      <c r="K57" s="2" t="s">
        <v>37</v>
      </c>
      <c r="L57" s="2" t="s">
        <v>21</v>
      </c>
      <c r="M57">
        <v>14000</v>
      </c>
      <c r="N57">
        <v>1400</v>
      </c>
      <c r="O57">
        <v>12600</v>
      </c>
    </row>
    <row r="58" spans="1:15">
      <c r="A58">
        <v>10057</v>
      </c>
      <c r="B58" s="1">
        <v>45762</v>
      </c>
      <c r="C58" s="2" t="s">
        <v>15</v>
      </c>
      <c r="D58" s="2" t="s">
        <v>53</v>
      </c>
      <c r="E58" s="2" t="s">
        <v>30</v>
      </c>
      <c r="F58" s="2" t="s">
        <v>47</v>
      </c>
      <c r="G58" s="2" t="s">
        <v>19</v>
      </c>
      <c r="H58">
        <v>6</v>
      </c>
      <c r="I58">
        <v>11550</v>
      </c>
      <c r="J58">
        <v>0.05</v>
      </c>
      <c r="K58" s="2" t="s">
        <v>20</v>
      </c>
      <c r="L58" s="2" t="s">
        <v>27</v>
      </c>
      <c r="M58">
        <v>69300</v>
      </c>
      <c r="N58">
        <v>3465</v>
      </c>
      <c r="O58">
        <v>65835</v>
      </c>
    </row>
    <row r="59" spans="1:15">
      <c r="A59">
        <v>10058</v>
      </c>
      <c r="B59" s="1">
        <v>45813</v>
      </c>
      <c r="C59" s="2" t="s">
        <v>22</v>
      </c>
      <c r="D59" s="2" t="s">
        <v>56</v>
      </c>
      <c r="E59" s="2" t="s">
        <v>17</v>
      </c>
      <c r="F59" s="2" t="s">
        <v>50</v>
      </c>
      <c r="G59" s="2" t="s">
        <v>51</v>
      </c>
      <c r="H59">
        <v>4</v>
      </c>
      <c r="I59">
        <v>120</v>
      </c>
      <c r="J59">
        <v>1.25</v>
      </c>
      <c r="K59" s="2" t="s">
        <v>26</v>
      </c>
      <c r="L59" s="2" t="s">
        <v>33</v>
      </c>
      <c r="M59">
        <v>480</v>
      </c>
      <c r="N59">
        <v>0</v>
      </c>
      <c r="O59">
        <v>480</v>
      </c>
    </row>
    <row r="60" spans="1:15">
      <c r="A60">
        <v>10059</v>
      </c>
      <c r="B60" s="1">
        <v>45788</v>
      </c>
      <c r="C60" s="2" t="s">
        <v>28</v>
      </c>
      <c r="D60" s="2" t="s">
        <v>59</v>
      </c>
      <c r="E60" s="2" t="s">
        <v>24</v>
      </c>
      <c r="F60" s="2" t="s">
        <v>54</v>
      </c>
      <c r="G60" s="2" t="s">
        <v>51</v>
      </c>
      <c r="H60">
        <v>1</v>
      </c>
      <c r="I60">
        <v>180</v>
      </c>
      <c r="J60">
        <v>0.15</v>
      </c>
      <c r="K60" s="2" t="s">
        <v>32</v>
      </c>
      <c r="L60" s="2" t="s">
        <v>38</v>
      </c>
      <c r="M60">
        <v>180</v>
      </c>
      <c r="N60">
        <v>27</v>
      </c>
      <c r="O60">
        <v>153</v>
      </c>
    </row>
    <row r="61" spans="1:15">
      <c r="A61">
        <v>10060</v>
      </c>
      <c r="B61" s="1">
        <v>45771</v>
      </c>
      <c r="C61" s="2" t="s">
        <v>34</v>
      </c>
      <c r="D61" s="2" t="s">
        <v>61</v>
      </c>
      <c r="E61" s="2" t="s">
        <v>30</v>
      </c>
      <c r="F61" s="2" t="s">
        <v>57</v>
      </c>
      <c r="G61" s="2" t="s">
        <v>19</v>
      </c>
      <c r="H61">
        <v>5</v>
      </c>
      <c r="I61">
        <v>2500</v>
      </c>
      <c r="J61">
        <v>0.1</v>
      </c>
      <c r="K61" s="2" t="s">
        <v>37</v>
      </c>
      <c r="L61" s="2" t="s">
        <v>42</v>
      </c>
      <c r="M61">
        <v>12500</v>
      </c>
      <c r="N61">
        <v>1250</v>
      </c>
      <c r="O61">
        <v>11250</v>
      </c>
    </row>
    <row r="62" spans="1:15">
      <c r="A62">
        <v>10061</v>
      </c>
      <c r="B62" s="1">
        <v>45775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>
        <v>1</v>
      </c>
      <c r="I62">
        <v>61750</v>
      </c>
      <c r="J62">
        <v>0.1</v>
      </c>
      <c r="K62" s="2" t="s">
        <v>20</v>
      </c>
      <c r="L62" s="2" t="s">
        <v>45</v>
      </c>
      <c r="M62">
        <v>61750</v>
      </c>
      <c r="N62">
        <v>6175</v>
      </c>
      <c r="O62">
        <v>55575</v>
      </c>
    </row>
    <row r="63" spans="1:15">
      <c r="A63">
        <v>10062</v>
      </c>
      <c r="B63" s="1">
        <v>45733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19</v>
      </c>
      <c r="H63">
        <v>5</v>
      </c>
      <c r="I63">
        <v>12600</v>
      </c>
      <c r="J63">
        <v>0</v>
      </c>
      <c r="K63" s="2" t="s">
        <v>26</v>
      </c>
      <c r="L63" s="2" t="s">
        <v>48</v>
      </c>
      <c r="M63">
        <v>63000</v>
      </c>
      <c r="N63">
        <v>0</v>
      </c>
      <c r="O63">
        <v>63000</v>
      </c>
    </row>
    <row r="64" spans="1:15">
      <c r="A64">
        <v>10063</v>
      </c>
      <c r="B64" s="1">
        <v>45747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19</v>
      </c>
      <c r="H64">
        <v>6</v>
      </c>
      <c r="I64">
        <v>1710</v>
      </c>
      <c r="J64">
        <v>0</v>
      </c>
      <c r="K64" s="2" t="s">
        <v>32</v>
      </c>
      <c r="L64" s="2" t="s">
        <v>52</v>
      </c>
      <c r="M64">
        <v>10260</v>
      </c>
      <c r="N64">
        <v>0</v>
      </c>
      <c r="O64">
        <v>10260</v>
      </c>
    </row>
    <row r="65" spans="1:15">
      <c r="A65">
        <v>10064</v>
      </c>
      <c r="B65" s="1">
        <v>45684</v>
      </c>
      <c r="C65" s="2" t="s">
        <v>34</v>
      </c>
      <c r="D65" s="2" t="s">
        <v>35</v>
      </c>
      <c r="E65" s="2" t="s">
        <v>17</v>
      </c>
      <c r="F65" s="2" t="s">
        <v>36</v>
      </c>
      <c r="G65" s="2" t="s">
        <v>19</v>
      </c>
      <c r="H65">
        <v>2</v>
      </c>
      <c r="I65">
        <v>800</v>
      </c>
      <c r="J65">
        <v>0.05</v>
      </c>
      <c r="K65" s="2" t="s">
        <v>37</v>
      </c>
      <c r="L65" s="2" t="s">
        <v>55</v>
      </c>
      <c r="M65">
        <v>1600</v>
      </c>
      <c r="N65">
        <v>80</v>
      </c>
      <c r="O65">
        <v>1520</v>
      </c>
    </row>
    <row r="66" spans="1:15">
      <c r="A66">
        <v>10065</v>
      </c>
      <c r="B66" s="1">
        <v>45764</v>
      </c>
      <c r="C66" s="2" t="s">
        <v>15</v>
      </c>
      <c r="D66" s="2" t="s">
        <v>39</v>
      </c>
      <c r="E66" s="2" t="s">
        <v>24</v>
      </c>
      <c r="F66" s="2" t="s">
        <v>40</v>
      </c>
      <c r="G66" s="2" t="s">
        <v>41</v>
      </c>
      <c r="H66">
        <v>5</v>
      </c>
      <c r="I66">
        <v>8075</v>
      </c>
      <c r="J66">
        <v>0</v>
      </c>
      <c r="K66" s="2" t="s">
        <v>20</v>
      </c>
      <c r="L66" s="2" t="s">
        <v>58</v>
      </c>
      <c r="M66">
        <v>40375</v>
      </c>
      <c r="N66">
        <v>0</v>
      </c>
      <c r="O66">
        <v>40375</v>
      </c>
    </row>
    <row r="67" spans="1:15">
      <c r="A67">
        <v>10066</v>
      </c>
      <c r="B67" s="1">
        <v>45825</v>
      </c>
      <c r="C67" s="2" t="s">
        <v>22</v>
      </c>
      <c r="D67" s="2" t="s">
        <v>68</v>
      </c>
      <c r="E67" s="2" t="s">
        <v>30</v>
      </c>
      <c r="F67" s="2" t="s">
        <v>44</v>
      </c>
      <c r="G67" s="2" t="s">
        <v>41</v>
      </c>
      <c r="H67">
        <v>6</v>
      </c>
      <c r="I67">
        <v>14000</v>
      </c>
      <c r="J67">
        <v>0</v>
      </c>
      <c r="K67" s="2" t="s">
        <v>26</v>
      </c>
      <c r="L67" s="2" t="s">
        <v>60</v>
      </c>
      <c r="M67">
        <v>84000</v>
      </c>
      <c r="N67">
        <v>0</v>
      </c>
      <c r="O67">
        <v>84000</v>
      </c>
    </row>
    <row r="68" spans="1:15">
      <c r="A68">
        <v>10067</v>
      </c>
      <c r="B68" s="1">
        <v>45720</v>
      </c>
      <c r="C68" s="2" t="s">
        <v>28</v>
      </c>
      <c r="D68" s="2" t="s">
        <v>46</v>
      </c>
      <c r="E68" s="2" t="s">
        <v>17</v>
      </c>
      <c r="F68" s="2" t="s">
        <v>47</v>
      </c>
      <c r="G68" s="2" t="s">
        <v>19</v>
      </c>
      <c r="H68">
        <v>7</v>
      </c>
      <c r="I68">
        <v>11000</v>
      </c>
      <c r="J68">
        <v>0.1</v>
      </c>
      <c r="K68" s="2" t="s">
        <v>32</v>
      </c>
      <c r="L68" s="2" t="s">
        <v>62</v>
      </c>
      <c r="M68">
        <v>77000</v>
      </c>
      <c r="N68">
        <v>7700</v>
      </c>
      <c r="O68">
        <v>69300</v>
      </c>
    </row>
    <row r="69" spans="1:15">
      <c r="A69">
        <v>10068</v>
      </c>
      <c r="B69" s="1">
        <v>45662</v>
      </c>
      <c r="C69" s="2" t="s">
        <v>34</v>
      </c>
      <c r="D69" s="2" t="s">
        <v>49</v>
      </c>
      <c r="E69" s="2" t="s">
        <v>24</v>
      </c>
      <c r="F69" s="2" t="s">
        <v>50</v>
      </c>
      <c r="G69" s="2" t="s">
        <v>51</v>
      </c>
      <c r="H69">
        <v>5</v>
      </c>
      <c r="I69">
        <v>120</v>
      </c>
      <c r="J69">
        <v>0.1</v>
      </c>
      <c r="K69" s="2" t="s">
        <v>37</v>
      </c>
      <c r="L69" s="2" t="s">
        <v>63</v>
      </c>
      <c r="M69">
        <v>600</v>
      </c>
      <c r="N69">
        <v>60</v>
      </c>
      <c r="O69">
        <v>540</v>
      </c>
    </row>
    <row r="70" spans="1:15">
      <c r="A70">
        <v>10069</v>
      </c>
      <c r="B70" s="1">
        <v>45745</v>
      </c>
      <c r="C70" s="2" t="s">
        <v>15</v>
      </c>
      <c r="D70" s="2" t="s">
        <v>53</v>
      </c>
      <c r="E70" s="2" t="s">
        <v>30</v>
      </c>
      <c r="F70" s="2" t="s">
        <v>54</v>
      </c>
      <c r="G70" s="2" t="s">
        <v>51</v>
      </c>
      <c r="H70">
        <v>2</v>
      </c>
      <c r="I70">
        <v>180</v>
      </c>
      <c r="J70">
        <v>0.2</v>
      </c>
      <c r="K70" s="2" t="s">
        <v>108</v>
      </c>
      <c r="L70" s="2" t="s">
        <v>64</v>
      </c>
      <c r="M70">
        <v>360</v>
      </c>
      <c r="N70">
        <v>72</v>
      </c>
      <c r="O70">
        <v>288</v>
      </c>
    </row>
    <row r="71" spans="1:15">
      <c r="A71">
        <v>10070</v>
      </c>
      <c r="B71" s="1">
        <v>45672</v>
      </c>
      <c r="C71" s="2" t="s">
        <v>22</v>
      </c>
      <c r="D71" s="2" t="s">
        <v>56</v>
      </c>
      <c r="E71" s="2" t="s">
        <v>17</v>
      </c>
      <c r="F71" s="2" t="s">
        <v>57</v>
      </c>
      <c r="G71" s="2" t="s">
        <v>19</v>
      </c>
      <c r="H71">
        <v>4</v>
      </c>
      <c r="I71">
        <v>2375</v>
      </c>
      <c r="J71">
        <v>0.15</v>
      </c>
      <c r="K71" s="2" t="s">
        <v>26</v>
      </c>
      <c r="L71" s="2" t="s">
        <v>65</v>
      </c>
      <c r="M71">
        <v>9500</v>
      </c>
      <c r="N71">
        <v>1425</v>
      </c>
      <c r="O71">
        <v>8075</v>
      </c>
    </row>
    <row r="72" spans="1:15">
      <c r="A72">
        <v>10071</v>
      </c>
      <c r="B72" s="1">
        <v>45746</v>
      </c>
      <c r="C72" s="2" t="s">
        <v>28</v>
      </c>
      <c r="D72" s="2" t="s">
        <v>59</v>
      </c>
      <c r="E72" s="2" t="s">
        <v>24</v>
      </c>
      <c r="F72" s="2" t="s">
        <v>18</v>
      </c>
      <c r="G72" s="2" t="s">
        <v>19</v>
      </c>
      <c r="H72">
        <v>2</v>
      </c>
      <c r="I72">
        <v>65000</v>
      </c>
      <c r="J72">
        <v>0.1</v>
      </c>
      <c r="K72" s="2" t="s">
        <v>32</v>
      </c>
      <c r="L72" s="2" t="s">
        <v>66</v>
      </c>
      <c r="M72">
        <v>130000</v>
      </c>
      <c r="N72">
        <v>13000</v>
      </c>
      <c r="O72">
        <v>117000</v>
      </c>
    </row>
    <row r="73" spans="1:15">
      <c r="A73">
        <v>10072</v>
      </c>
      <c r="B73" s="1">
        <v>45761</v>
      </c>
      <c r="C73" s="2" t="s">
        <v>34</v>
      </c>
      <c r="D73" s="2" t="s">
        <v>61</v>
      </c>
      <c r="E73" s="2" t="s">
        <v>30</v>
      </c>
      <c r="F73" s="2" t="s">
        <v>25</v>
      </c>
      <c r="G73" s="2" t="s">
        <v>19</v>
      </c>
      <c r="H73">
        <v>4</v>
      </c>
      <c r="I73">
        <v>11400</v>
      </c>
      <c r="J73">
        <v>0.2</v>
      </c>
      <c r="K73" s="2" t="s">
        <v>37</v>
      </c>
      <c r="L73" s="2" t="s">
        <v>67</v>
      </c>
      <c r="M73">
        <v>45600</v>
      </c>
      <c r="N73">
        <v>9120</v>
      </c>
      <c r="O73">
        <v>36480</v>
      </c>
    </row>
    <row r="74" spans="1:15">
      <c r="A74">
        <v>10073</v>
      </c>
      <c r="B74" s="1">
        <v>45706</v>
      </c>
      <c r="C74" s="2" t="s">
        <v>15</v>
      </c>
      <c r="D74" s="2" t="s">
        <v>16</v>
      </c>
      <c r="E74" s="2" t="s">
        <v>17</v>
      </c>
      <c r="F74" s="2" t="s">
        <v>31</v>
      </c>
      <c r="G74" s="2" t="s">
        <v>19</v>
      </c>
      <c r="H74">
        <v>4</v>
      </c>
      <c r="I74">
        <v>1890</v>
      </c>
      <c r="J74">
        <v>0.1</v>
      </c>
      <c r="K74" s="2" t="s">
        <v>20</v>
      </c>
      <c r="L74" s="2" t="s">
        <v>70</v>
      </c>
      <c r="M74">
        <v>7560</v>
      </c>
      <c r="N74">
        <v>756</v>
      </c>
      <c r="O74">
        <v>6804</v>
      </c>
    </row>
    <row r="75" spans="1:15">
      <c r="A75">
        <v>10074</v>
      </c>
      <c r="B75" s="1">
        <v>45752</v>
      </c>
      <c r="C75" s="2" t="s">
        <v>22</v>
      </c>
      <c r="D75" s="2" t="s">
        <v>23</v>
      </c>
      <c r="E75" s="2" t="s">
        <v>24</v>
      </c>
      <c r="F75" s="2" t="s">
        <v>36</v>
      </c>
      <c r="G75" s="2" t="s">
        <v>19</v>
      </c>
      <c r="H75">
        <v>7</v>
      </c>
      <c r="I75">
        <v>800</v>
      </c>
      <c r="J75">
        <v>0.05</v>
      </c>
      <c r="K75" s="2" t="s">
        <v>26</v>
      </c>
      <c r="L75" s="2" t="s">
        <v>71</v>
      </c>
      <c r="M75">
        <v>5600</v>
      </c>
      <c r="N75">
        <v>280</v>
      </c>
      <c r="O75">
        <v>5320</v>
      </c>
    </row>
    <row r="76" spans="1:15">
      <c r="A76">
        <v>10075</v>
      </c>
      <c r="B76" s="1">
        <v>45661</v>
      </c>
      <c r="C76" s="2" t="s">
        <v>28</v>
      </c>
      <c r="D76" s="2" t="s">
        <v>29</v>
      </c>
      <c r="E76" s="2" t="s">
        <v>30</v>
      </c>
      <c r="F76" s="2" t="s">
        <v>40</v>
      </c>
      <c r="G76" s="2" t="s">
        <v>41</v>
      </c>
      <c r="H76">
        <v>6</v>
      </c>
      <c r="I76">
        <v>8500</v>
      </c>
      <c r="J76">
        <v>0.1</v>
      </c>
      <c r="K76" s="2" t="s">
        <v>32</v>
      </c>
      <c r="L76" s="2" t="s">
        <v>72</v>
      </c>
      <c r="M76">
        <v>51000</v>
      </c>
      <c r="N76">
        <v>5100</v>
      </c>
      <c r="O76">
        <v>45900</v>
      </c>
    </row>
    <row r="77" spans="1:15">
      <c r="A77">
        <v>10076</v>
      </c>
      <c r="B77" s="1">
        <v>45820</v>
      </c>
      <c r="C77" s="2" t="s">
        <v>34</v>
      </c>
      <c r="D77" s="2" t="s">
        <v>35</v>
      </c>
      <c r="E77" s="2" t="s">
        <v>17</v>
      </c>
      <c r="F77" s="2" t="s">
        <v>44</v>
      </c>
      <c r="G77" s="2" t="s">
        <v>41</v>
      </c>
      <c r="H77">
        <v>3</v>
      </c>
      <c r="I77">
        <v>13300</v>
      </c>
      <c r="J77">
        <v>0.2</v>
      </c>
      <c r="K77" s="2" t="s">
        <v>37</v>
      </c>
      <c r="L77" s="2" t="s">
        <v>73</v>
      </c>
      <c r="M77">
        <v>39900</v>
      </c>
      <c r="N77">
        <v>7980</v>
      </c>
      <c r="O77">
        <v>31920</v>
      </c>
    </row>
    <row r="78" spans="1:15">
      <c r="A78">
        <v>10077</v>
      </c>
      <c r="B78" s="1">
        <v>45758</v>
      </c>
      <c r="C78" s="2" t="s">
        <v>15</v>
      </c>
      <c r="D78" s="2" t="s">
        <v>39</v>
      </c>
      <c r="E78" s="2" t="s">
        <v>24</v>
      </c>
      <c r="F78" s="2" t="s">
        <v>47</v>
      </c>
      <c r="G78" s="2" t="s">
        <v>19</v>
      </c>
      <c r="H78">
        <v>4</v>
      </c>
      <c r="I78">
        <v>11000</v>
      </c>
      <c r="J78">
        <v>0</v>
      </c>
      <c r="K78" s="2" t="s">
        <v>20</v>
      </c>
      <c r="L78" s="2" t="s">
        <v>74</v>
      </c>
      <c r="M78">
        <v>44000</v>
      </c>
      <c r="N78">
        <v>0</v>
      </c>
      <c r="O78">
        <v>44000</v>
      </c>
    </row>
    <row r="79" spans="1:15">
      <c r="A79">
        <v>10078</v>
      </c>
      <c r="B79" s="1">
        <v>45779</v>
      </c>
      <c r="C79" s="2" t="s">
        <v>22</v>
      </c>
      <c r="D79" s="2" t="s">
        <v>68</v>
      </c>
      <c r="E79" s="2" t="s">
        <v>30</v>
      </c>
      <c r="F79" s="2" t="s">
        <v>50</v>
      </c>
      <c r="G79" s="2" t="s">
        <v>51</v>
      </c>
      <c r="H79">
        <v>3</v>
      </c>
      <c r="I79">
        <v>120</v>
      </c>
      <c r="J79">
        <v>0</v>
      </c>
      <c r="K79" s="2" t="s">
        <v>26</v>
      </c>
      <c r="L79" s="2" t="s">
        <v>75</v>
      </c>
      <c r="M79">
        <v>360</v>
      </c>
      <c r="N79">
        <v>0</v>
      </c>
      <c r="O79">
        <v>360</v>
      </c>
    </row>
    <row r="80" spans="1:15">
      <c r="A80">
        <v>10079</v>
      </c>
      <c r="B80" s="1">
        <v>45777</v>
      </c>
      <c r="C80" s="2" t="s">
        <v>28</v>
      </c>
      <c r="D80" s="2" t="s">
        <v>46</v>
      </c>
      <c r="E80" s="2" t="s">
        <v>17</v>
      </c>
      <c r="F80" s="2" t="s">
        <v>54</v>
      </c>
      <c r="G80" s="2" t="s">
        <v>51</v>
      </c>
      <c r="H80">
        <v>1</v>
      </c>
      <c r="I80">
        <v>171</v>
      </c>
      <c r="J80">
        <v>0.05</v>
      </c>
      <c r="K80" s="2" t="s">
        <v>32</v>
      </c>
      <c r="L80" s="2" t="s">
        <v>76</v>
      </c>
      <c r="M80">
        <v>171</v>
      </c>
      <c r="N80">
        <v>8.5500000000000007</v>
      </c>
      <c r="O80">
        <v>162.44999999999999</v>
      </c>
    </row>
    <row r="81" spans="1:15">
      <c r="A81">
        <v>10080</v>
      </c>
      <c r="B81" s="1"/>
      <c r="C81" s="2" t="s">
        <v>34</v>
      </c>
      <c r="D81" s="2" t="s">
        <v>49</v>
      </c>
      <c r="E81" s="2" t="s">
        <v>24</v>
      </c>
      <c r="F81" s="2" t="s">
        <v>57</v>
      </c>
      <c r="G81" s="2" t="s">
        <v>19</v>
      </c>
      <c r="H81">
        <v>6</v>
      </c>
      <c r="I81">
        <v>2625</v>
      </c>
      <c r="J81">
        <v>0.15</v>
      </c>
      <c r="K81" s="2" t="s">
        <v>37</v>
      </c>
      <c r="L81" s="2" t="s">
        <v>77</v>
      </c>
      <c r="M81">
        <v>15750</v>
      </c>
      <c r="N81">
        <v>2362.5</v>
      </c>
      <c r="O81">
        <v>13387.5</v>
      </c>
    </row>
    <row r="82" spans="1:15">
      <c r="A82">
        <v>10081</v>
      </c>
      <c r="B82" s="1">
        <v>45823</v>
      </c>
      <c r="C82" s="2" t="s">
        <v>15</v>
      </c>
      <c r="D82" s="2" t="s">
        <v>53</v>
      </c>
      <c r="E82" s="2" t="s">
        <v>30</v>
      </c>
      <c r="F82" s="2" t="s">
        <v>18</v>
      </c>
      <c r="G82" s="2" t="s">
        <v>19</v>
      </c>
      <c r="H82">
        <v>3</v>
      </c>
      <c r="I82">
        <v>65000</v>
      </c>
      <c r="J82">
        <v>0</v>
      </c>
      <c r="K82" s="2" t="s">
        <v>20</v>
      </c>
      <c r="L82" s="2" t="s">
        <v>78</v>
      </c>
      <c r="M82">
        <v>195000</v>
      </c>
      <c r="N82">
        <v>0</v>
      </c>
      <c r="O82">
        <v>195000</v>
      </c>
    </row>
    <row r="83" spans="1:15">
      <c r="A83">
        <v>10082</v>
      </c>
      <c r="B83" s="1">
        <v>45664</v>
      </c>
      <c r="C83" s="2" t="s">
        <v>22</v>
      </c>
      <c r="D83" s="2" t="s">
        <v>56</v>
      </c>
      <c r="E83" s="2" t="s">
        <v>17</v>
      </c>
      <c r="F83" s="2" t="s">
        <v>25</v>
      </c>
      <c r="G83" s="2" t="s">
        <v>19</v>
      </c>
      <c r="H83">
        <v>7</v>
      </c>
      <c r="I83">
        <v>11400</v>
      </c>
      <c r="J83">
        <v>0.05</v>
      </c>
      <c r="K83" s="2" t="s">
        <v>26</v>
      </c>
      <c r="L83" s="2" t="s">
        <v>79</v>
      </c>
      <c r="M83">
        <v>79800</v>
      </c>
      <c r="N83">
        <v>3990</v>
      </c>
      <c r="O83">
        <v>75810</v>
      </c>
    </row>
    <row r="84" spans="1:15">
      <c r="A84">
        <v>10083</v>
      </c>
      <c r="B84" s="1">
        <v>45725</v>
      </c>
      <c r="C84" s="2" t="s">
        <v>28</v>
      </c>
      <c r="D84" s="2" t="s">
        <v>59</v>
      </c>
      <c r="E84" s="2" t="s">
        <v>24</v>
      </c>
      <c r="F84" s="2" t="s">
        <v>31</v>
      </c>
      <c r="G84" s="2" t="s">
        <v>19</v>
      </c>
      <c r="H84">
        <v>1</v>
      </c>
      <c r="I84">
        <v>1800</v>
      </c>
      <c r="J84">
        <v>0.1</v>
      </c>
      <c r="K84" s="2" t="s">
        <v>32</v>
      </c>
      <c r="L84" s="2" t="s">
        <v>80</v>
      </c>
      <c r="M84">
        <v>1800</v>
      </c>
      <c r="N84">
        <v>180</v>
      </c>
      <c r="O84">
        <v>1620</v>
      </c>
    </row>
    <row r="85" spans="1:15">
      <c r="A85">
        <v>10084</v>
      </c>
      <c r="B85" s="1">
        <v>45804</v>
      </c>
      <c r="C85" s="2" t="s">
        <v>34</v>
      </c>
      <c r="D85" s="2" t="s">
        <v>61</v>
      </c>
      <c r="E85" s="2" t="s">
        <v>30</v>
      </c>
      <c r="F85" s="2" t="s">
        <v>36</v>
      </c>
      <c r="G85" s="2" t="s">
        <v>19</v>
      </c>
      <c r="H85">
        <v>3</v>
      </c>
      <c r="I85">
        <v>800</v>
      </c>
      <c r="J85">
        <v>0.2</v>
      </c>
      <c r="K85" s="2" t="s">
        <v>37</v>
      </c>
      <c r="L85" s="2" t="s">
        <v>81</v>
      </c>
      <c r="M85">
        <v>2400</v>
      </c>
      <c r="N85">
        <v>480</v>
      </c>
      <c r="O85">
        <v>1920</v>
      </c>
    </row>
    <row r="86" spans="1:15">
      <c r="A86">
        <v>10085</v>
      </c>
      <c r="B86" s="1">
        <v>45830</v>
      </c>
      <c r="C86" s="2" t="s">
        <v>15</v>
      </c>
      <c r="D86" s="2" t="s">
        <v>16</v>
      </c>
      <c r="E86" s="2" t="s">
        <v>17</v>
      </c>
      <c r="F86" s="2" t="s">
        <v>40</v>
      </c>
      <c r="G86" s="2" t="s">
        <v>41</v>
      </c>
      <c r="H86">
        <v>7</v>
      </c>
      <c r="I86">
        <v>8075</v>
      </c>
      <c r="J86">
        <v>0.05</v>
      </c>
      <c r="K86" s="2" t="s">
        <v>20</v>
      </c>
      <c r="L86" s="2" t="s">
        <v>82</v>
      </c>
      <c r="M86">
        <v>56525</v>
      </c>
      <c r="N86">
        <v>2826.25</v>
      </c>
      <c r="O86">
        <v>53698.75</v>
      </c>
    </row>
    <row r="87" spans="1:15">
      <c r="A87">
        <v>10086</v>
      </c>
      <c r="B87" s="1">
        <v>45751</v>
      </c>
      <c r="C87" s="2" t="s">
        <v>22</v>
      </c>
      <c r="D87" s="2" t="s">
        <v>23</v>
      </c>
      <c r="E87" s="2" t="s">
        <v>24</v>
      </c>
      <c r="F87" s="2" t="s">
        <v>44</v>
      </c>
      <c r="G87" s="2" t="s">
        <v>41</v>
      </c>
      <c r="H87">
        <v>5</v>
      </c>
      <c r="I87">
        <v>14000</v>
      </c>
      <c r="J87">
        <v>0.05</v>
      </c>
      <c r="K87" s="2" t="s">
        <v>26</v>
      </c>
      <c r="L87" s="2" t="s">
        <v>83</v>
      </c>
      <c r="M87">
        <v>70000</v>
      </c>
      <c r="N87">
        <v>3500</v>
      </c>
      <c r="O87">
        <v>66500</v>
      </c>
    </row>
    <row r="88" spans="1:15">
      <c r="A88">
        <v>10087</v>
      </c>
      <c r="B88" s="1">
        <v>45827</v>
      </c>
      <c r="C88" s="2" t="s">
        <v>28</v>
      </c>
      <c r="D88" s="2" t="s">
        <v>29</v>
      </c>
      <c r="E88" s="2" t="s">
        <v>30</v>
      </c>
      <c r="F88" s="2" t="s">
        <v>47</v>
      </c>
      <c r="G88" s="2" t="s">
        <v>19</v>
      </c>
      <c r="H88">
        <v>7</v>
      </c>
      <c r="I88">
        <v>11550</v>
      </c>
      <c r="J88">
        <v>0.05</v>
      </c>
      <c r="K88" s="2" t="s">
        <v>32</v>
      </c>
      <c r="L88" s="2" t="s">
        <v>84</v>
      </c>
      <c r="M88">
        <v>80850</v>
      </c>
      <c r="N88">
        <v>4042.5</v>
      </c>
      <c r="O88">
        <v>76807.5</v>
      </c>
    </row>
    <row r="89" spans="1:15">
      <c r="A89">
        <v>10088</v>
      </c>
      <c r="B89" s="1">
        <v>45666</v>
      </c>
      <c r="C89" s="2" t="s">
        <v>34</v>
      </c>
      <c r="D89" s="2" t="s">
        <v>35</v>
      </c>
      <c r="E89" s="2" t="s">
        <v>17</v>
      </c>
      <c r="F89" s="2" t="s">
        <v>50</v>
      </c>
      <c r="G89" s="2" t="s">
        <v>51</v>
      </c>
      <c r="H89">
        <v>2</v>
      </c>
      <c r="I89">
        <v>120</v>
      </c>
      <c r="J89">
        <v>0</v>
      </c>
      <c r="K89" s="2" t="s">
        <v>37</v>
      </c>
      <c r="L89" s="2" t="s">
        <v>85</v>
      </c>
      <c r="M89">
        <v>240</v>
      </c>
      <c r="N89">
        <v>0</v>
      </c>
      <c r="O89">
        <v>240</v>
      </c>
    </row>
    <row r="90" spans="1:15">
      <c r="A90">
        <v>10089</v>
      </c>
      <c r="B90" s="1">
        <v>45837</v>
      </c>
      <c r="C90" s="2" t="s">
        <v>15</v>
      </c>
      <c r="D90" s="2" t="s">
        <v>39</v>
      </c>
      <c r="E90" s="2" t="s">
        <v>24</v>
      </c>
      <c r="F90" s="2" t="s">
        <v>54</v>
      </c>
      <c r="G90" s="2" t="s">
        <v>51</v>
      </c>
      <c r="H90">
        <v>3</v>
      </c>
      <c r="I90">
        <v>189</v>
      </c>
      <c r="J90">
        <v>0.1</v>
      </c>
      <c r="K90" s="2" t="s">
        <v>20</v>
      </c>
      <c r="L90" s="2" t="s">
        <v>86</v>
      </c>
      <c r="M90">
        <v>567</v>
      </c>
      <c r="N90">
        <v>56.7</v>
      </c>
      <c r="O90">
        <v>510.3</v>
      </c>
    </row>
    <row r="91" spans="1:15">
      <c r="A91">
        <v>10090</v>
      </c>
      <c r="B91" s="1">
        <v>45793</v>
      </c>
      <c r="C91" s="2" t="s">
        <v>22</v>
      </c>
      <c r="D91" s="2" t="s">
        <v>68</v>
      </c>
      <c r="E91" s="2" t="s">
        <v>30</v>
      </c>
      <c r="F91" s="2" t="s">
        <v>57</v>
      </c>
      <c r="G91" s="2" t="s">
        <v>19</v>
      </c>
      <c r="H91">
        <v>2</v>
      </c>
      <c r="I91">
        <v>2375</v>
      </c>
      <c r="J91">
        <v>0.2</v>
      </c>
      <c r="K91" s="2" t="s">
        <v>26</v>
      </c>
      <c r="L91" s="2" t="s">
        <v>87</v>
      </c>
      <c r="M91">
        <v>4750</v>
      </c>
      <c r="N91">
        <v>950</v>
      </c>
      <c r="O91">
        <v>3800</v>
      </c>
    </row>
    <row r="92" spans="1:15">
      <c r="A92">
        <v>10091</v>
      </c>
      <c r="B92" s="1">
        <v>45819</v>
      </c>
      <c r="C92" s="2" t="s">
        <v>28</v>
      </c>
      <c r="D92" s="2" t="s">
        <v>46</v>
      </c>
      <c r="E92" s="2" t="s">
        <v>17</v>
      </c>
      <c r="F92" s="2" t="s">
        <v>18</v>
      </c>
      <c r="G92" s="2" t="s">
        <v>19</v>
      </c>
      <c r="H92">
        <v>6</v>
      </c>
      <c r="I92">
        <v>61750</v>
      </c>
      <c r="J92">
        <v>0.2</v>
      </c>
      <c r="K92" s="2" t="s">
        <v>32</v>
      </c>
      <c r="L92" s="2" t="s">
        <v>88</v>
      </c>
      <c r="M92">
        <v>370500</v>
      </c>
      <c r="N92">
        <v>74100</v>
      </c>
      <c r="O92">
        <v>296400</v>
      </c>
    </row>
    <row r="93" spans="1:15">
      <c r="A93">
        <v>10092</v>
      </c>
      <c r="B93" s="1">
        <v>45715</v>
      </c>
      <c r="C93" s="2" t="s">
        <v>34</v>
      </c>
      <c r="D93" s="2" t="s">
        <v>49</v>
      </c>
      <c r="E93" s="2" t="s">
        <v>24</v>
      </c>
      <c r="F93" s="2" t="s">
        <v>25</v>
      </c>
      <c r="G93" s="2" t="s">
        <v>19</v>
      </c>
      <c r="H93">
        <v>1</v>
      </c>
      <c r="I93">
        <v>12000</v>
      </c>
      <c r="J93">
        <v>0.1</v>
      </c>
      <c r="K93" s="2" t="s">
        <v>37</v>
      </c>
      <c r="L93" s="2" t="s">
        <v>89</v>
      </c>
      <c r="M93">
        <v>12000</v>
      </c>
      <c r="N93">
        <v>1200</v>
      </c>
      <c r="O93">
        <v>10800</v>
      </c>
    </row>
    <row r="94" spans="1:15">
      <c r="A94">
        <v>10093</v>
      </c>
      <c r="B94" s="1">
        <v>45777</v>
      </c>
      <c r="C94" s="2" t="s">
        <v>15</v>
      </c>
      <c r="D94" s="2" t="s">
        <v>53</v>
      </c>
      <c r="E94" s="2" t="s">
        <v>30</v>
      </c>
      <c r="F94" s="2" t="s">
        <v>31</v>
      </c>
      <c r="G94" s="2" t="s">
        <v>19</v>
      </c>
      <c r="H94">
        <v>1</v>
      </c>
      <c r="I94">
        <v>1800</v>
      </c>
      <c r="J94">
        <v>0.15</v>
      </c>
      <c r="K94" s="2" t="s">
        <v>20</v>
      </c>
      <c r="L94" s="2" t="s">
        <v>90</v>
      </c>
      <c r="M94">
        <v>1800</v>
      </c>
      <c r="N94">
        <v>270</v>
      </c>
      <c r="O94">
        <v>1530</v>
      </c>
    </row>
    <row r="95" spans="1:15">
      <c r="A95">
        <v>10094</v>
      </c>
      <c r="B95" s="1">
        <v>45675</v>
      </c>
      <c r="C95" s="2" t="s">
        <v>22</v>
      </c>
      <c r="D95" s="2" t="s">
        <v>56</v>
      </c>
      <c r="E95" s="2" t="s">
        <v>17</v>
      </c>
      <c r="F95" s="2" t="s">
        <v>36</v>
      </c>
      <c r="G95" s="2" t="s">
        <v>19</v>
      </c>
      <c r="H95">
        <v>3</v>
      </c>
      <c r="I95">
        <v>840</v>
      </c>
      <c r="J95">
        <v>0.05</v>
      </c>
      <c r="K95" s="2" t="s">
        <v>26</v>
      </c>
      <c r="L95" s="2" t="s">
        <v>91</v>
      </c>
      <c r="M95">
        <v>2520</v>
      </c>
      <c r="N95">
        <v>126</v>
      </c>
      <c r="O95">
        <v>2394</v>
      </c>
    </row>
    <row r="96" spans="1:15">
      <c r="A96">
        <v>10095</v>
      </c>
      <c r="B96" s="1">
        <v>45705</v>
      </c>
      <c r="C96" s="2" t="s">
        <v>28</v>
      </c>
      <c r="D96" s="2" t="s">
        <v>59</v>
      </c>
      <c r="E96" s="2" t="s">
        <v>24</v>
      </c>
      <c r="F96" s="2" t="s">
        <v>40</v>
      </c>
      <c r="G96" s="2" t="s">
        <v>41</v>
      </c>
      <c r="H96">
        <v>6</v>
      </c>
      <c r="I96">
        <v>8500</v>
      </c>
      <c r="J96">
        <v>0.15</v>
      </c>
      <c r="K96" s="2" t="s">
        <v>32</v>
      </c>
      <c r="L96" s="2" t="s">
        <v>92</v>
      </c>
      <c r="M96">
        <v>51000</v>
      </c>
      <c r="N96">
        <v>7650</v>
      </c>
      <c r="O96">
        <v>43350</v>
      </c>
    </row>
    <row r="97" spans="1:15">
      <c r="A97">
        <v>10096</v>
      </c>
      <c r="B97" s="1">
        <v>45701</v>
      </c>
      <c r="C97" s="2" t="s">
        <v>34</v>
      </c>
      <c r="D97" s="2" t="s">
        <v>61</v>
      </c>
      <c r="E97" s="2" t="s">
        <v>30</v>
      </c>
      <c r="F97" s="2" t="s">
        <v>44</v>
      </c>
      <c r="G97" s="2" t="s">
        <v>109</v>
      </c>
      <c r="H97">
        <v>1</v>
      </c>
      <c r="I97">
        <v>14700</v>
      </c>
      <c r="J97">
        <v>0.2</v>
      </c>
      <c r="K97" s="2" t="s">
        <v>37</v>
      </c>
      <c r="L97" s="2" t="s">
        <v>93</v>
      </c>
      <c r="M97">
        <v>14700</v>
      </c>
      <c r="N97">
        <v>2940</v>
      </c>
      <c r="O97">
        <v>11760</v>
      </c>
    </row>
    <row r="98" spans="1:15">
      <c r="A98">
        <v>10097</v>
      </c>
      <c r="B98" s="1">
        <v>45808</v>
      </c>
      <c r="C98" s="2" t="s">
        <v>15</v>
      </c>
      <c r="D98" s="2" t="s">
        <v>16</v>
      </c>
      <c r="E98" s="2" t="s">
        <v>17</v>
      </c>
      <c r="F98" s="2" t="s">
        <v>47</v>
      </c>
      <c r="G98" s="2" t="s">
        <v>19</v>
      </c>
      <c r="H98">
        <v>1</v>
      </c>
      <c r="I98">
        <v>10450</v>
      </c>
      <c r="J98">
        <v>0</v>
      </c>
      <c r="K98" s="2" t="s">
        <v>20</v>
      </c>
      <c r="L98" s="2" t="s">
        <v>94</v>
      </c>
      <c r="M98">
        <v>10450</v>
      </c>
      <c r="N98">
        <f>M93</f>
        <v>12000</v>
      </c>
      <c r="O98">
        <v>10450</v>
      </c>
    </row>
    <row r="99" spans="1:15">
      <c r="A99">
        <v>10098</v>
      </c>
      <c r="B99" s="1">
        <v>45690</v>
      </c>
      <c r="C99" s="2" t="s">
        <v>22</v>
      </c>
      <c r="D99" s="2" t="s">
        <v>23</v>
      </c>
      <c r="E99" s="2" t="s">
        <v>24</v>
      </c>
      <c r="F99" s="2" t="s">
        <v>50</v>
      </c>
      <c r="G99" s="2" t="s">
        <v>51</v>
      </c>
      <c r="H99">
        <v>7</v>
      </c>
      <c r="I99">
        <v>120</v>
      </c>
      <c r="J99">
        <v>0</v>
      </c>
      <c r="K99" s="2" t="s">
        <v>26</v>
      </c>
      <c r="L99" s="2" t="s">
        <v>95</v>
      </c>
      <c r="M99">
        <v>840</v>
      </c>
      <c r="N99">
        <v>0</v>
      </c>
      <c r="O99">
        <v>840</v>
      </c>
    </row>
    <row r="100" spans="1:15">
      <c r="A100">
        <v>10099</v>
      </c>
      <c r="B100" s="1">
        <v>45816</v>
      </c>
      <c r="C100" s="2" t="s">
        <v>28</v>
      </c>
      <c r="D100" s="2" t="s">
        <v>29</v>
      </c>
      <c r="E100" s="2" t="s">
        <v>30</v>
      </c>
      <c r="F100" s="2" t="s">
        <v>54</v>
      </c>
      <c r="G100" s="2" t="s">
        <v>51</v>
      </c>
      <c r="H100">
        <v>3</v>
      </c>
      <c r="I100">
        <v>180</v>
      </c>
      <c r="J100">
        <v>0.1</v>
      </c>
      <c r="K100" s="2" t="s">
        <v>32</v>
      </c>
      <c r="L100" s="2" t="s">
        <v>96</v>
      </c>
      <c r="M100">
        <v>540</v>
      </c>
      <c r="N100">
        <v>54</v>
      </c>
      <c r="O100">
        <v>486</v>
      </c>
    </row>
    <row r="101" spans="1:15">
      <c r="A101">
        <v>10100</v>
      </c>
      <c r="B101" s="1">
        <v>45714</v>
      </c>
      <c r="C101" s="2" t="s">
        <v>34</v>
      </c>
      <c r="D101" s="2" t="s">
        <v>35</v>
      </c>
      <c r="E101" s="2" t="s">
        <v>17</v>
      </c>
      <c r="F101" s="2" t="s">
        <v>57</v>
      </c>
      <c r="G101" s="2" t="s">
        <v>19</v>
      </c>
      <c r="H101">
        <v>1</v>
      </c>
      <c r="I101">
        <v>2500</v>
      </c>
      <c r="J101">
        <v>0</v>
      </c>
      <c r="K101" s="2" t="s">
        <v>37</v>
      </c>
      <c r="L101" s="2" t="s">
        <v>97</v>
      </c>
      <c r="M101">
        <v>2500</v>
      </c>
      <c r="N101">
        <v>0</v>
      </c>
      <c r="O101">
        <v>2500</v>
      </c>
    </row>
    <row r="102" spans="1:15">
      <c r="A102">
        <v>10101</v>
      </c>
      <c r="B102" s="1">
        <v>45833</v>
      </c>
      <c r="C102" s="2" t="s">
        <v>15</v>
      </c>
      <c r="D102" s="2" t="s">
        <v>39</v>
      </c>
      <c r="E102" s="2" t="s">
        <v>24</v>
      </c>
      <c r="F102" s="2" t="s">
        <v>18</v>
      </c>
      <c r="G102" s="2" t="s">
        <v>19</v>
      </c>
      <c r="H102">
        <v>7</v>
      </c>
      <c r="I102">
        <v>65000</v>
      </c>
      <c r="J102">
        <v>0.15</v>
      </c>
      <c r="K102" s="2" t="s">
        <v>20</v>
      </c>
      <c r="L102" s="2" t="s">
        <v>98</v>
      </c>
      <c r="M102">
        <v>455000</v>
      </c>
      <c r="N102">
        <v>68250</v>
      </c>
      <c r="O102">
        <v>386750</v>
      </c>
    </row>
    <row r="103" spans="1:15">
      <c r="A103">
        <v>10102</v>
      </c>
      <c r="B103" s="1">
        <v>45684</v>
      </c>
      <c r="C103" s="2" t="s">
        <v>22</v>
      </c>
      <c r="D103" s="2" t="s">
        <v>68</v>
      </c>
      <c r="E103" s="2" t="s">
        <v>30</v>
      </c>
      <c r="F103" s="2" t="s">
        <v>25</v>
      </c>
      <c r="G103" s="2" t="s">
        <v>19</v>
      </c>
      <c r="H103">
        <v>4</v>
      </c>
      <c r="I103">
        <v>12000</v>
      </c>
      <c r="J103">
        <v>0.1</v>
      </c>
      <c r="K103" s="2" t="s">
        <v>26</v>
      </c>
      <c r="L103" s="2" t="s">
        <v>99</v>
      </c>
      <c r="M103">
        <v>48000</v>
      </c>
      <c r="N103">
        <v>4800</v>
      </c>
      <c r="O103">
        <v>43200</v>
      </c>
    </row>
    <row r="104" spans="1:15">
      <c r="A104">
        <v>10103</v>
      </c>
      <c r="B104" s="1">
        <v>45699</v>
      </c>
      <c r="C104" s="2" t="s">
        <v>28</v>
      </c>
      <c r="D104" s="2" t="s">
        <v>46</v>
      </c>
      <c r="E104" s="2" t="s">
        <v>17</v>
      </c>
      <c r="F104" s="2" t="s">
        <v>31</v>
      </c>
      <c r="G104" s="2" t="s">
        <v>19</v>
      </c>
      <c r="H104">
        <v>7</v>
      </c>
      <c r="I104">
        <v>1710</v>
      </c>
      <c r="J104">
        <v>0</v>
      </c>
      <c r="K104" s="2" t="s">
        <v>32</v>
      </c>
      <c r="L104" s="2" t="s">
        <v>100</v>
      </c>
      <c r="M104">
        <v>11970</v>
      </c>
      <c r="N104">
        <v>0</v>
      </c>
      <c r="O104">
        <v>11970</v>
      </c>
    </row>
    <row r="105" spans="1:15">
      <c r="A105">
        <v>10104</v>
      </c>
      <c r="B105" s="1">
        <v>45780</v>
      </c>
      <c r="C105" s="2" t="s">
        <v>34</v>
      </c>
      <c r="D105" s="2" t="s">
        <v>49</v>
      </c>
      <c r="E105" s="2" t="s">
        <v>24</v>
      </c>
      <c r="F105" s="2" t="s">
        <v>36</v>
      </c>
      <c r="G105" s="2" t="s">
        <v>19</v>
      </c>
      <c r="H105">
        <v>2</v>
      </c>
      <c r="I105">
        <v>760</v>
      </c>
      <c r="J105">
        <v>0</v>
      </c>
      <c r="K105" s="2" t="s">
        <v>37</v>
      </c>
      <c r="L105" s="2" t="s">
        <v>101</v>
      </c>
      <c r="M105">
        <v>1520</v>
      </c>
      <c r="N105">
        <v>0</v>
      </c>
      <c r="O105">
        <v>1520</v>
      </c>
    </row>
    <row r="106" spans="1:15">
      <c r="A106">
        <v>10105</v>
      </c>
      <c r="B106" s="1">
        <v>45749</v>
      </c>
      <c r="C106" s="2" t="s">
        <v>15</v>
      </c>
      <c r="D106" s="2" t="s">
        <v>53</v>
      </c>
      <c r="E106" s="2" t="s">
        <v>30</v>
      </c>
      <c r="F106" s="2" t="s">
        <v>40</v>
      </c>
      <c r="G106" s="2" t="s">
        <v>41</v>
      </c>
      <c r="H106">
        <v>7</v>
      </c>
      <c r="I106">
        <v>8500</v>
      </c>
      <c r="J106">
        <v>0</v>
      </c>
      <c r="K106" s="2" t="s">
        <v>20</v>
      </c>
      <c r="L106" s="2" t="s">
        <v>102</v>
      </c>
      <c r="M106">
        <v>59500</v>
      </c>
      <c r="N106">
        <v>0</v>
      </c>
      <c r="O106">
        <v>59500</v>
      </c>
    </row>
    <row r="107" spans="1:15">
      <c r="A107">
        <v>10106</v>
      </c>
      <c r="B107" s="1">
        <v>45763</v>
      </c>
      <c r="C107" s="2" t="s">
        <v>22</v>
      </c>
      <c r="D107" s="2" t="s">
        <v>56</v>
      </c>
      <c r="E107" s="2" t="s">
        <v>17</v>
      </c>
      <c r="F107" s="2" t="s">
        <v>44</v>
      </c>
      <c r="G107" s="2" t="s">
        <v>41</v>
      </c>
      <c r="H107">
        <v>7</v>
      </c>
      <c r="I107">
        <v>14700</v>
      </c>
      <c r="J107">
        <v>0.15</v>
      </c>
      <c r="K107" s="2" t="s">
        <v>26</v>
      </c>
      <c r="L107" s="2" t="s">
        <v>103</v>
      </c>
      <c r="M107">
        <v>102900</v>
      </c>
      <c r="N107">
        <v>15435</v>
      </c>
      <c r="O107">
        <v>87465</v>
      </c>
    </row>
    <row r="108" spans="1:15">
      <c r="A108">
        <v>10107</v>
      </c>
      <c r="B108" s="1">
        <v>45803</v>
      </c>
      <c r="C108" s="2" t="s">
        <v>28</v>
      </c>
      <c r="D108" s="2" t="s">
        <v>59</v>
      </c>
      <c r="E108" s="2" t="s">
        <v>24</v>
      </c>
      <c r="F108" s="2" t="s">
        <v>47</v>
      </c>
      <c r="G108" s="2" t="s">
        <v>19</v>
      </c>
      <c r="H108">
        <v>3</v>
      </c>
      <c r="I108">
        <v>11550</v>
      </c>
      <c r="J108">
        <v>0</v>
      </c>
      <c r="K108" s="2" t="s">
        <v>32</v>
      </c>
      <c r="L108" s="2" t="s">
        <v>104</v>
      </c>
      <c r="M108">
        <v>34650</v>
      </c>
      <c r="N108">
        <v>0</v>
      </c>
      <c r="O108">
        <v>34650</v>
      </c>
    </row>
    <row r="109" spans="1:15">
      <c r="A109">
        <v>10108</v>
      </c>
      <c r="B109" s="1">
        <v>45791</v>
      </c>
      <c r="C109" s="2" t="s">
        <v>34</v>
      </c>
      <c r="D109" s="2" t="s">
        <v>61</v>
      </c>
      <c r="E109" s="2" t="s">
        <v>30</v>
      </c>
      <c r="F109" s="2" t="s">
        <v>50</v>
      </c>
      <c r="G109" s="2" t="s">
        <v>51</v>
      </c>
      <c r="H109">
        <v>1</v>
      </c>
      <c r="I109">
        <v>114</v>
      </c>
      <c r="J109">
        <v>0.15</v>
      </c>
      <c r="K109" s="2" t="s">
        <v>37</v>
      </c>
      <c r="L109" s="2" t="s">
        <v>105</v>
      </c>
      <c r="M109">
        <v>114</v>
      </c>
      <c r="N109">
        <v>17.099999999999998</v>
      </c>
      <c r="O109">
        <v>96.9</v>
      </c>
    </row>
    <row r="110" spans="1:15">
      <c r="A110">
        <v>10109</v>
      </c>
      <c r="B110" s="1">
        <v>45680</v>
      </c>
      <c r="C110" s="2" t="s">
        <v>15</v>
      </c>
      <c r="D110" s="2" t="s">
        <v>16</v>
      </c>
      <c r="E110" s="2" t="s">
        <v>17</v>
      </c>
      <c r="F110" s="2" t="s">
        <v>54</v>
      </c>
      <c r="G110" s="2" t="s">
        <v>51</v>
      </c>
      <c r="H110">
        <v>6</v>
      </c>
      <c r="I110">
        <v>180</v>
      </c>
      <c r="J110">
        <v>0</v>
      </c>
      <c r="K110" s="2" t="s">
        <v>20</v>
      </c>
      <c r="L110" s="2" t="s">
        <v>106</v>
      </c>
      <c r="M110">
        <v>1080</v>
      </c>
      <c r="N110">
        <v>0</v>
      </c>
      <c r="O110">
        <v>1080</v>
      </c>
    </row>
    <row r="111" spans="1:15">
      <c r="A111">
        <v>10110</v>
      </c>
      <c r="B111" s="1">
        <v>45729</v>
      </c>
      <c r="C111" s="2" t="s">
        <v>22</v>
      </c>
      <c r="D111" s="2" t="s">
        <v>23</v>
      </c>
      <c r="E111" s="2" t="s">
        <v>24</v>
      </c>
      <c r="F111" s="2" t="s">
        <v>57</v>
      </c>
      <c r="G111" s="2" t="s">
        <v>19</v>
      </c>
      <c r="H111">
        <v>4</v>
      </c>
      <c r="I111">
        <v>2375</v>
      </c>
      <c r="J111">
        <v>0.2</v>
      </c>
      <c r="K111" s="2" t="s">
        <v>26</v>
      </c>
      <c r="L111" s="2" t="s">
        <v>107</v>
      </c>
      <c r="M111">
        <v>9500</v>
      </c>
      <c r="N111">
        <v>1900</v>
      </c>
      <c r="O111">
        <v>7600</v>
      </c>
    </row>
    <row r="112" spans="1:15">
      <c r="A112">
        <v>10111</v>
      </c>
      <c r="B112" s="1">
        <v>45746</v>
      </c>
      <c r="C112" s="2" t="s">
        <v>28</v>
      </c>
      <c r="D112" s="2" t="s">
        <v>29</v>
      </c>
      <c r="E112" s="2" t="s">
        <v>30</v>
      </c>
      <c r="F112" s="2" t="s">
        <v>18</v>
      </c>
      <c r="G112" s="2" t="s">
        <v>19</v>
      </c>
      <c r="H112">
        <v>7</v>
      </c>
      <c r="I112">
        <v>61750</v>
      </c>
      <c r="J112">
        <v>0.05</v>
      </c>
      <c r="K112" s="2" t="s">
        <v>32</v>
      </c>
      <c r="L112" s="2" t="s">
        <v>110</v>
      </c>
      <c r="M112">
        <v>432250</v>
      </c>
      <c r="N112">
        <v>21612.5</v>
      </c>
      <c r="O112">
        <v>410637.5</v>
      </c>
    </row>
    <row r="113" spans="1:15">
      <c r="A113">
        <v>10112</v>
      </c>
      <c r="B113" s="1">
        <v>45830</v>
      </c>
      <c r="C113" s="2" t="s">
        <v>34</v>
      </c>
      <c r="D113" s="2" t="s">
        <v>35</v>
      </c>
      <c r="E113" s="2" t="s">
        <v>17</v>
      </c>
      <c r="F113" s="2" t="s">
        <v>25</v>
      </c>
      <c r="G113" s="2" t="s">
        <v>19</v>
      </c>
      <c r="H113">
        <v>4</v>
      </c>
      <c r="I113">
        <v>12000</v>
      </c>
      <c r="J113">
        <v>0.15</v>
      </c>
      <c r="K113" s="2" t="s">
        <v>37</v>
      </c>
      <c r="L113" s="2" t="s">
        <v>27</v>
      </c>
      <c r="M113">
        <v>48000</v>
      </c>
      <c r="N113">
        <v>7200</v>
      </c>
      <c r="O113">
        <v>40800</v>
      </c>
    </row>
    <row r="114" spans="1:15">
      <c r="A114">
        <v>10113</v>
      </c>
      <c r="B114" s="1">
        <v>45825</v>
      </c>
      <c r="C114" s="2" t="s">
        <v>15</v>
      </c>
      <c r="D114" s="2" t="s">
        <v>39</v>
      </c>
      <c r="E114" s="2" t="s">
        <v>24</v>
      </c>
      <c r="F114" s="2" t="s">
        <v>31</v>
      </c>
      <c r="G114" s="2" t="s">
        <v>19</v>
      </c>
      <c r="H114">
        <v>4</v>
      </c>
      <c r="I114">
        <v>1890</v>
      </c>
      <c r="J114">
        <v>0.05</v>
      </c>
      <c r="K114" s="2" t="s">
        <v>20</v>
      </c>
      <c r="L114" s="2" t="s">
        <v>33</v>
      </c>
      <c r="M114">
        <v>7560</v>
      </c>
      <c r="N114">
        <v>378</v>
      </c>
      <c r="O114">
        <v>7182</v>
      </c>
    </row>
    <row r="115" spans="1:15">
      <c r="A115">
        <v>10114</v>
      </c>
      <c r="B115" s="1">
        <v>45758</v>
      </c>
      <c r="C115" s="2" t="s">
        <v>22</v>
      </c>
      <c r="D115" s="2" t="s">
        <v>68</v>
      </c>
      <c r="E115" s="2" t="s">
        <v>30</v>
      </c>
      <c r="F115" s="2" t="s">
        <v>36</v>
      </c>
      <c r="G115" s="2" t="s">
        <v>19</v>
      </c>
      <c r="H115">
        <v>4</v>
      </c>
      <c r="I115">
        <v>800</v>
      </c>
      <c r="J115">
        <v>0</v>
      </c>
      <c r="K115" s="2" t="s">
        <v>26</v>
      </c>
      <c r="L115" s="2" t="s">
        <v>38</v>
      </c>
      <c r="M115">
        <v>3200</v>
      </c>
      <c r="N115">
        <v>0</v>
      </c>
      <c r="O115">
        <v>3200</v>
      </c>
    </row>
    <row r="116" spans="1:15">
      <c r="A116">
        <v>10115</v>
      </c>
      <c r="B116" s="1">
        <v>45677</v>
      </c>
      <c r="C116" s="2" t="s">
        <v>28</v>
      </c>
      <c r="D116" s="2" t="s">
        <v>46</v>
      </c>
      <c r="E116" s="2" t="s">
        <v>17</v>
      </c>
      <c r="F116" s="2" t="s">
        <v>40</v>
      </c>
      <c r="G116" s="2" t="s">
        <v>41</v>
      </c>
      <c r="H116">
        <v>2</v>
      </c>
      <c r="I116">
        <v>8925</v>
      </c>
      <c r="J116">
        <v>0.15</v>
      </c>
      <c r="K116" s="2" t="s">
        <v>32</v>
      </c>
      <c r="L116" s="2" t="s">
        <v>42</v>
      </c>
      <c r="M116">
        <v>17850</v>
      </c>
      <c r="N116">
        <v>2677.5</v>
      </c>
      <c r="O116">
        <v>15172.5</v>
      </c>
    </row>
    <row r="117" spans="1:15">
      <c r="A117">
        <v>10116</v>
      </c>
      <c r="B117" s="1">
        <v>45733</v>
      </c>
      <c r="C117" s="2" t="s">
        <v>34</v>
      </c>
      <c r="D117" s="2" t="s">
        <v>49</v>
      </c>
      <c r="E117" s="2" t="s">
        <v>24</v>
      </c>
      <c r="F117" s="2" t="s">
        <v>44</v>
      </c>
      <c r="G117" s="2" t="s">
        <v>41</v>
      </c>
      <c r="H117">
        <v>6</v>
      </c>
      <c r="I117">
        <v>14000</v>
      </c>
      <c r="J117">
        <v>0</v>
      </c>
      <c r="K117" s="2" t="s">
        <v>37</v>
      </c>
      <c r="L117" s="2" t="s">
        <v>45</v>
      </c>
      <c r="M117">
        <v>84000</v>
      </c>
      <c r="N117">
        <v>0</v>
      </c>
      <c r="O117">
        <v>84000</v>
      </c>
    </row>
    <row r="118" spans="1:15">
      <c r="A118">
        <v>10117</v>
      </c>
      <c r="B118" s="1">
        <v>45765</v>
      </c>
      <c r="C118" s="2" t="s">
        <v>15</v>
      </c>
      <c r="D118" s="2" t="s">
        <v>53</v>
      </c>
      <c r="E118" s="2" t="s">
        <v>30</v>
      </c>
      <c r="F118" s="2" t="s">
        <v>47</v>
      </c>
      <c r="G118" s="2" t="s">
        <v>19</v>
      </c>
      <c r="H118">
        <v>1</v>
      </c>
      <c r="I118">
        <v>10450</v>
      </c>
      <c r="J118">
        <v>0.2</v>
      </c>
      <c r="K118" s="2" t="s">
        <v>20</v>
      </c>
      <c r="L118" s="2" t="s">
        <v>48</v>
      </c>
      <c r="M118">
        <v>10450</v>
      </c>
      <c r="N118">
        <v>2090</v>
      </c>
      <c r="O118">
        <v>8360</v>
      </c>
    </row>
    <row r="119" spans="1:15">
      <c r="A119">
        <v>10118</v>
      </c>
      <c r="B119" s="1">
        <v>45803</v>
      </c>
      <c r="C119" s="2" t="s">
        <v>22</v>
      </c>
      <c r="D119" s="2" t="s">
        <v>56</v>
      </c>
      <c r="E119" s="2" t="s">
        <v>17</v>
      </c>
      <c r="F119" s="2" t="s">
        <v>50</v>
      </c>
      <c r="G119" s="2" t="s">
        <v>51</v>
      </c>
      <c r="H119">
        <v>2</v>
      </c>
      <c r="I119">
        <v>120</v>
      </c>
      <c r="J119">
        <v>0.2</v>
      </c>
      <c r="K119" s="2" t="s">
        <v>26</v>
      </c>
      <c r="L119" s="2" t="s">
        <v>52</v>
      </c>
      <c r="M119">
        <v>240</v>
      </c>
      <c r="N119">
        <v>48</v>
      </c>
      <c r="O119">
        <v>192</v>
      </c>
    </row>
    <row r="120" spans="1:15">
      <c r="A120">
        <v>10119</v>
      </c>
      <c r="B120" s="1">
        <v>45800</v>
      </c>
      <c r="C120" s="2" t="s">
        <v>28</v>
      </c>
      <c r="D120" s="2" t="s">
        <v>59</v>
      </c>
      <c r="E120" s="2" t="s">
        <v>24</v>
      </c>
      <c r="F120" s="2" t="s">
        <v>54</v>
      </c>
      <c r="G120" s="2" t="s">
        <v>51</v>
      </c>
      <c r="H120">
        <v>4</v>
      </c>
      <c r="I120">
        <v>180</v>
      </c>
      <c r="J120">
        <v>0.1</v>
      </c>
      <c r="K120" s="2" t="s">
        <v>32</v>
      </c>
      <c r="L120" s="2" t="s">
        <v>55</v>
      </c>
      <c r="M120">
        <v>720</v>
      </c>
      <c r="N120">
        <v>72</v>
      </c>
      <c r="O120">
        <v>648</v>
      </c>
    </row>
    <row r="121" spans="1:15">
      <c r="A121">
        <v>10120</v>
      </c>
      <c r="B121" s="1">
        <v>45677</v>
      </c>
      <c r="C121" s="2" t="s">
        <v>34</v>
      </c>
      <c r="D121" s="2" t="s">
        <v>61</v>
      </c>
      <c r="E121" s="2" t="s">
        <v>30</v>
      </c>
      <c r="F121" s="2" t="s">
        <v>57</v>
      </c>
      <c r="G121" s="2" t="s">
        <v>19</v>
      </c>
      <c r="H121">
        <v>6</v>
      </c>
      <c r="I121">
        <v>2500</v>
      </c>
      <c r="J121">
        <v>0</v>
      </c>
      <c r="K121" s="2" t="s">
        <v>37</v>
      </c>
      <c r="L121" s="2" t="s">
        <v>58</v>
      </c>
      <c r="M121">
        <v>15000</v>
      </c>
      <c r="N121">
        <v>0</v>
      </c>
      <c r="O121">
        <v>15000</v>
      </c>
    </row>
    <row r="122" spans="1:15">
      <c r="A122">
        <v>10121</v>
      </c>
      <c r="B122" s="1">
        <v>45802</v>
      </c>
      <c r="C122" s="2" t="s">
        <v>15</v>
      </c>
      <c r="D122" s="2" t="s">
        <v>16</v>
      </c>
      <c r="E122" s="2" t="s">
        <v>17</v>
      </c>
      <c r="F122" s="2" t="s">
        <v>18</v>
      </c>
      <c r="G122" s="2" t="s">
        <v>19</v>
      </c>
      <c r="H122">
        <v>3</v>
      </c>
      <c r="I122">
        <v>65000</v>
      </c>
      <c r="J122">
        <v>0.2</v>
      </c>
      <c r="K122" s="2" t="s">
        <v>20</v>
      </c>
      <c r="L122" s="2" t="s">
        <v>60</v>
      </c>
      <c r="M122">
        <v>195000</v>
      </c>
      <c r="N122">
        <v>39000</v>
      </c>
      <c r="O122">
        <v>156000</v>
      </c>
    </row>
    <row r="123" spans="1:15">
      <c r="A123">
        <v>10122</v>
      </c>
      <c r="B123" s="1">
        <v>45754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19</v>
      </c>
      <c r="H123">
        <v>4</v>
      </c>
      <c r="I123">
        <v>12000</v>
      </c>
      <c r="J123">
        <v>0.05</v>
      </c>
      <c r="K123" s="2" t="s">
        <v>26</v>
      </c>
      <c r="L123" s="2" t="s">
        <v>62</v>
      </c>
      <c r="M123">
        <v>48000</v>
      </c>
      <c r="N123">
        <v>2400</v>
      </c>
      <c r="O123">
        <v>45600</v>
      </c>
    </row>
    <row r="124" spans="1:15">
      <c r="A124">
        <v>10123</v>
      </c>
      <c r="B124" s="1">
        <v>45815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19</v>
      </c>
      <c r="H124">
        <v>6</v>
      </c>
      <c r="I124">
        <v>1890</v>
      </c>
      <c r="J124">
        <v>0.15</v>
      </c>
      <c r="K124" s="2" t="s">
        <v>32</v>
      </c>
      <c r="L124" s="2" t="s">
        <v>63</v>
      </c>
      <c r="M124">
        <v>11340</v>
      </c>
      <c r="N124">
        <v>1701</v>
      </c>
      <c r="O124">
        <v>9639</v>
      </c>
    </row>
    <row r="125" spans="1:15">
      <c r="A125">
        <v>10124</v>
      </c>
      <c r="B125" s="1">
        <v>45732</v>
      </c>
      <c r="C125" s="2" t="s">
        <v>34</v>
      </c>
      <c r="D125" s="2" t="s">
        <v>35</v>
      </c>
      <c r="E125" s="2" t="s">
        <v>17</v>
      </c>
      <c r="F125" s="2" t="s">
        <v>36</v>
      </c>
      <c r="G125" s="2" t="s">
        <v>19</v>
      </c>
      <c r="H125">
        <v>6</v>
      </c>
      <c r="I125">
        <v>800</v>
      </c>
      <c r="J125">
        <v>0.15</v>
      </c>
      <c r="K125" s="2" t="s">
        <v>37</v>
      </c>
      <c r="L125" s="2" t="s">
        <v>64</v>
      </c>
      <c r="M125">
        <v>4800</v>
      </c>
      <c r="N125">
        <v>720</v>
      </c>
      <c r="O125">
        <v>4080</v>
      </c>
    </row>
    <row r="126" spans="1:15">
      <c r="A126">
        <v>10125</v>
      </c>
      <c r="B126" s="1">
        <v>45735</v>
      </c>
      <c r="C126" s="2" t="s">
        <v>15</v>
      </c>
      <c r="D126" s="2" t="s">
        <v>39</v>
      </c>
      <c r="E126" s="2" t="s">
        <v>24</v>
      </c>
      <c r="F126" s="2" t="s">
        <v>40</v>
      </c>
      <c r="G126" s="2" t="s">
        <v>41</v>
      </c>
      <c r="H126">
        <v>1</v>
      </c>
      <c r="I126">
        <v>8925</v>
      </c>
      <c r="J126">
        <v>0.05</v>
      </c>
      <c r="K126" s="2" t="s">
        <v>20</v>
      </c>
      <c r="L126" s="2" t="s">
        <v>65</v>
      </c>
      <c r="M126">
        <v>8925</v>
      </c>
      <c r="N126">
        <v>446.25</v>
      </c>
      <c r="O126">
        <v>8478.75</v>
      </c>
    </row>
    <row r="127" spans="1:15">
      <c r="A127">
        <v>10126</v>
      </c>
      <c r="B127" s="1">
        <v>45815</v>
      </c>
      <c r="C127" s="2" t="s">
        <v>22</v>
      </c>
      <c r="D127" s="2" t="s">
        <v>68</v>
      </c>
      <c r="E127" s="2" t="s">
        <v>30</v>
      </c>
      <c r="F127" s="2" t="s">
        <v>44</v>
      </c>
      <c r="G127" s="2" t="s">
        <v>41</v>
      </c>
      <c r="H127">
        <v>1</v>
      </c>
      <c r="I127">
        <v>14700</v>
      </c>
      <c r="J127">
        <v>0.15</v>
      </c>
      <c r="K127" s="2" t="s">
        <v>26</v>
      </c>
      <c r="L127" s="2" t="s">
        <v>66</v>
      </c>
      <c r="M127">
        <v>14700</v>
      </c>
      <c r="N127">
        <v>2205</v>
      </c>
      <c r="O127">
        <v>12495</v>
      </c>
    </row>
    <row r="128" spans="1:15">
      <c r="A128">
        <v>10127</v>
      </c>
      <c r="B128" s="1">
        <v>45702</v>
      </c>
      <c r="C128" s="2" t="s">
        <v>28</v>
      </c>
      <c r="D128" s="2" t="s">
        <v>46</v>
      </c>
      <c r="E128" s="2" t="s">
        <v>17</v>
      </c>
      <c r="F128" s="2" t="s">
        <v>47</v>
      </c>
      <c r="G128" s="2" t="s">
        <v>19</v>
      </c>
      <c r="H128">
        <v>2</v>
      </c>
      <c r="I128">
        <v>11000</v>
      </c>
      <c r="J128">
        <v>0.1</v>
      </c>
      <c r="K128" s="2" t="s">
        <v>32</v>
      </c>
      <c r="L128" s="2" t="s">
        <v>67</v>
      </c>
      <c r="M128">
        <v>22000</v>
      </c>
      <c r="N128">
        <v>2200</v>
      </c>
      <c r="O128">
        <v>19800</v>
      </c>
    </row>
    <row r="129" spans="1:15">
      <c r="A129">
        <v>10128</v>
      </c>
      <c r="B129" s="1">
        <v>45793</v>
      </c>
      <c r="C129" s="2" t="s">
        <v>34</v>
      </c>
      <c r="D129" s="2" t="s">
        <v>49</v>
      </c>
      <c r="E129" s="2" t="s">
        <v>24</v>
      </c>
      <c r="F129" s="2" t="s">
        <v>50</v>
      </c>
      <c r="G129" s="2" t="s">
        <v>51</v>
      </c>
      <c r="H129">
        <v>2</v>
      </c>
      <c r="I129">
        <v>126</v>
      </c>
      <c r="J129">
        <v>0.05</v>
      </c>
      <c r="K129" s="2" t="s">
        <v>37</v>
      </c>
      <c r="L129" s="2" t="s">
        <v>70</v>
      </c>
      <c r="M129">
        <v>252</v>
      </c>
      <c r="N129">
        <v>12.600000000000001</v>
      </c>
      <c r="O129">
        <v>239.4</v>
      </c>
    </row>
    <row r="130" spans="1:15">
      <c r="A130">
        <v>10129</v>
      </c>
      <c r="B130" s="1">
        <v>45677</v>
      </c>
      <c r="C130" s="2" t="s">
        <v>15</v>
      </c>
      <c r="D130" s="2" t="s">
        <v>53</v>
      </c>
      <c r="E130" s="2" t="s">
        <v>30</v>
      </c>
      <c r="F130" s="2" t="s">
        <v>54</v>
      </c>
      <c r="G130" s="2" t="s">
        <v>51</v>
      </c>
      <c r="H130">
        <v>6</v>
      </c>
      <c r="I130">
        <v>189</v>
      </c>
      <c r="J130">
        <v>0.2</v>
      </c>
      <c r="K130" s="2" t="s">
        <v>20</v>
      </c>
      <c r="L130" s="2" t="s">
        <v>71</v>
      </c>
      <c r="M130">
        <v>1134</v>
      </c>
      <c r="N130">
        <v>226.8</v>
      </c>
      <c r="O130">
        <v>907.2</v>
      </c>
    </row>
    <row r="131" spans="1:15">
      <c r="A131">
        <v>10130</v>
      </c>
      <c r="B131" s="1">
        <v>45765</v>
      </c>
      <c r="C131" s="2" t="s">
        <v>22</v>
      </c>
      <c r="D131" s="2" t="s">
        <v>56</v>
      </c>
      <c r="E131" s="2" t="s">
        <v>17</v>
      </c>
      <c r="F131" s="2" t="s">
        <v>57</v>
      </c>
      <c r="G131" s="2" t="s">
        <v>19</v>
      </c>
      <c r="H131">
        <v>7</v>
      </c>
      <c r="I131">
        <v>2500</v>
      </c>
      <c r="J131">
        <v>0</v>
      </c>
      <c r="K131" s="2" t="s">
        <v>26</v>
      </c>
      <c r="L131" s="2" t="s">
        <v>72</v>
      </c>
      <c r="M131">
        <v>17500</v>
      </c>
      <c r="N131">
        <v>0</v>
      </c>
      <c r="O131">
        <v>17500</v>
      </c>
    </row>
    <row r="132" spans="1:15">
      <c r="A132">
        <v>10131</v>
      </c>
      <c r="B132" s="1">
        <v>45807</v>
      </c>
      <c r="C132" s="2" t="s">
        <v>28</v>
      </c>
      <c r="D132" s="2" t="s">
        <v>59</v>
      </c>
      <c r="E132" s="2" t="s">
        <v>24</v>
      </c>
      <c r="F132" s="2" t="s">
        <v>18</v>
      </c>
      <c r="G132" s="2" t="s">
        <v>19</v>
      </c>
      <c r="H132">
        <v>3</v>
      </c>
      <c r="I132">
        <v>61750</v>
      </c>
      <c r="J132">
        <v>0</v>
      </c>
      <c r="K132" s="2" t="s">
        <v>32</v>
      </c>
      <c r="L132" s="2" t="s">
        <v>73</v>
      </c>
      <c r="M132">
        <v>185250</v>
      </c>
      <c r="N132">
        <v>0</v>
      </c>
      <c r="O132">
        <v>-500</v>
      </c>
    </row>
    <row r="133" spans="1:15">
      <c r="A133">
        <v>10132</v>
      </c>
      <c r="B133" s="1">
        <v>45684</v>
      </c>
      <c r="C133" s="2" t="s">
        <v>34</v>
      </c>
      <c r="D133" s="2" t="s">
        <v>61</v>
      </c>
      <c r="E133" s="2" t="s">
        <v>30</v>
      </c>
      <c r="F133" s="2" t="s">
        <v>25</v>
      </c>
      <c r="G133" s="2" t="s">
        <v>19</v>
      </c>
      <c r="H133">
        <v>3</v>
      </c>
      <c r="I133">
        <v>12600</v>
      </c>
      <c r="J133">
        <v>0.05</v>
      </c>
      <c r="K133" s="2" t="s">
        <v>37</v>
      </c>
      <c r="L133" s="2" t="s">
        <v>74</v>
      </c>
      <c r="M133">
        <v>37800</v>
      </c>
      <c r="N133">
        <v>1890</v>
      </c>
      <c r="O133">
        <v>35910</v>
      </c>
    </row>
    <row r="134" spans="1:15">
      <c r="A134">
        <v>10133</v>
      </c>
      <c r="B134" s="1">
        <v>45687</v>
      </c>
      <c r="C134" s="2" t="s">
        <v>15</v>
      </c>
      <c r="D134" s="2" t="s">
        <v>16</v>
      </c>
      <c r="E134" s="2" t="s">
        <v>17</v>
      </c>
      <c r="F134" s="2" t="s">
        <v>31</v>
      </c>
      <c r="G134" s="2" t="s">
        <v>19</v>
      </c>
      <c r="H134">
        <v>7</v>
      </c>
      <c r="I134">
        <v>1800</v>
      </c>
      <c r="J134">
        <v>0.2</v>
      </c>
      <c r="K134" s="2" t="s">
        <v>20</v>
      </c>
      <c r="L134" s="2" t="s">
        <v>75</v>
      </c>
      <c r="M134">
        <v>12600</v>
      </c>
      <c r="N134">
        <v>2520</v>
      </c>
      <c r="O134">
        <v>10080</v>
      </c>
    </row>
    <row r="135" spans="1:15">
      <c r="A135">
        <v>10134</v>
      </c>
      <c r="B135" s="1">
        <v>45685</v>
      </c>
      <c r="C135" s="2" t="s">
        <v>22</v>
      </c>
      <c r="D135" s="2" t="s">
        <v>23</v>
      </c>
      <c r="E135" s="2" t="s">
        <v>24</v>
      </c>
      <c r="F135" s="2" t="s">
        <v>36</v>
      </c>
      <c r="G135" s="2" t="s">
        <v>19</v>
      </c>
      <c r="H135">
        <v>2</v>
      </c>
      <c r="I135">
        <v>800</v>
      </c>
      <c r="J135">
        <v>0.05</v>
      </c>
      <c r="K135" s="2" t="s">
        <v>26</v>
      </c>
      <c r="L135" s="2" t="s">
        <v>76</v>
      </c>
      <c r="M135">
        <v>1600</v>
      </c>
      <c r="N135">
        <v>80</v>
      </c>
      <c r="O135">
        <v>1520</v>
      </c>
    </row>
    <row r="136" spans="1:15">
      <c r="A136">
        <v>10135</v>
      </c>
      <c r="B136" s="1">
        <v>45661</v>
      </c>
      <c r="C136" s="2" t="s">
        <v>28</v>
      </c>
      <c r="D136" s="2" t="s">
        <v>29</v>
      </c>
      <c r="E136" s="2" t="s">
        <v>30</v>
      </c>
      <c r="F136" s="2" t="s">
        <v>40</v>
      </c>
      <c r="G136" s="2" t="s">
        <v>41</v>
      </c>
      <c r="H136">
        <v>4</v>
      </c>
      <c r="I136">
        <v>8500</v>
      </c>
      <c r="J136">
        <v>0</v>
      </c>
      <c r="K136" s="2" t="s">
        <v>32</v>
      </c>
      <c r="L136" s="2" t="s">
        <v>77</v>
      </c>
      <c r="M136">
        <v>34000</v>
      </c>
      <c r="N136">
        <v>0</v>
      </c>
      <c r="O136">
        <v>34000</v>
      </c>
    </row>
    <row r="137" spans="1:15">
      <c r="A137">
        <v>10136</v>
      </c>
      <c r="B137" s="1">
        <v>45689</v>
      </c>
      <c r="C137" s="2" t="s">
        <v>34</v>
      </c>
      <c r="D137" s="2" t="s">
        <v>35</v>
      </c>
      <c r="E137" s="2" t="s">
        <v>17</v>
      </c>
      <c r="F137" s="2" t="s">
        <v>44</v>
      </c>
      <c r="G137" s="2" t="s">
        <v>41</v>
      </c>
      <c r="H137">
        <v>5</v>
      </c>
      <c r="I137">
        <v>13300</v>
      </c>
      <c r="J137">
        <v>0</v>
      </c>
      <c r="K137" s="2" t="s">
        <v>37</v>
      </c>
      <c r="L137" s="2" t="s">
        <v>78</v>
      </c>
      <c r="M137">
        <v>66500</v>
      </c>
      <c r="N137">
        <v>0</v>
      </c>
      <c r="O137">
        <v>66500</v>
      </c>
    </row>
    <row r="138" spans="1:15">
      <c r="A138">
        <v>10137</v>
      </c>
      <c r="B138" s="1">
        <v>45764</v>
      </c>
      <c r="C138" s="2" t="s">
        <v>15</v>
      </c>
      <c r="D138" s="2" t="s">
        <v>39</v>
      </c>
      <c r="E138" s="2" t="s">
        <v>24</v>
      </c>
      <c r="F138" s="2" t="s">
        <v>47</v>
      </c>
      <c r="G138" s="2" t="s">
        <v>19</v>
      </c>
      <c r="H138">
        <v>6</v>
      </c>
      <c r="I138">
        <v>11000</v>
      </c>
      <c r="J138">
        <v>0</v>
      </c>
      <c r="K138" s="2" t="s">
        <v>20</v>
      </c>
      <c r="L138" s="2" t="s">
        <v>79</v>
      </c>
      <c r="M138">
        <v>66000</v>
      </c>
      <c r="N138">
        <v>0</v>
      </c>
      <c r="O138">
        <v>66000</v>
      </c>
    </row>
    <row r="139" spans="1:15">
      <c r="A139">
        <v>10138</v>
      </c>
      <c r="B139" s="1">
        <v>45729</v>
      </c>
      <c r="C139" s="2" t="s">
        <v>22</v>
      </c>
      <c r="D139" s="2" t="s">
        <v>68</v>
      </c>
      <c r="E139" s="2" t="s">
        <v>30</v>
      </c>
      <c r="F139" s="2" t="s">
        <v>50</v>
      </c>
      <c r="G139" s="2" t="s">
        <v>51</v>
      </c>
      <c r="H139">
        <v>4</v>
      </c>
      <c r="I139">
        <v>126</v>
      </c>
      <c r="J139">
        <v>0.15</v>
      </c>
      <c r="K139" s="2" t="s">
        <v>26</v>
      </c>
      <c r="L139" s="2" t="s">
        <v>80</v>
      </c>
      <c r="M139">
        <v>504</v>
      </c>
      <c r="N139">
        <v>75.599999999999994</v>
      </c>
      <c r="O139">
        <v>428.4</v>
      </c>
    </row>
    <row r="140" spans="1:15">
      <c r="A140">
        <v>10139</v>
      </c>
      <c r="B140" s="1">
        <v>45749</v>
      </c>
      <c r="C140" s="2" t="s">
        <v>28</v>
      </c>
      <c r="D140" s="2" t="s">
        <v>46</v>
      </c>
      <c r="E140" s="2" t="s">
        <v>17</v>
      </c>
      <c r="F140" s="2" t="s">
        <v>54</v>
      </c>
      <c r="G140" s="2" t="s">
        <v>51</v>
      </c>
      <c r="H140">
        <v>6</v>
      </c>
      <c r="I140">
        <v>189</v>
      </c>
      <c r="J140">
        <v>0.05</v>
      </c>
      <c r="K140" s="2" t="s">
        <v>32</v>
      </c>
      <c r="L140" s="2" t="s">
        <v>81</v>
      </c>
      <c r="M140">
        <v>1134</v>
      </c>
      <c r="N140">
        <v>56.7</v>
      </c>
      <c r="O140">
        <v>1077.3</v>
      </c>
    </row>
    <row r="141" spans="1:15">
      <c r="A141">
        <v>10140</v>
      </c>
      <c r="B141" s="1">
        <v>45812</v>
      </c>
      <c r="C141" s="2" t="s">
        <v>34</v>
      </c>
      <c r="D141" s="2" t="s">
        <v>49</v>
      </c>
      <c r="E141" s="2" t="s">
        <v>24</v>
      </c>
      <c r="F141" s="2" t="s">
        <v>57</v>
      </c>
      <c r="G141" s="2" t="s">
        <v>19</v>
      </c>
      <c r="H141">
        <v>6</v>
      </c>
      <c r="I141">
        <v>2625</v>
      </c>
      <c r="J141">
        <v>0.2</v>
      </c>
      <c r="K141" s="2" t="s">
        <v>37</v>
      </c>
      <c r="L141" s="2" t="s">
        <v>82</v>
      </c>
      <c r="M141">
        <v>15750</v>
      </c>
      <c r="N141">
        <v>3150</v>
      </c>
      <c r="O141">
        <v>12600</v>
      </c>
    </row>
    <row r="142" spans="1:15">
      <c r="A142">
        <v>10141</v>
      </c>
      <c r="B142" s="1">
        <v>45690</v>
      </c>
      <c r="C142" s="2" t="s">
        <v>15</v>
      </c>
      <c r="D142" s="2" t="s">
        <v>53</v>
      </c>
      <c r="E142" s="2" t="s">
        <v>30</v>
      </c>
      <c r="F142" s="2" t="s">
        <v>18</v>
      </c>
      <c r="G142" s="2" t="s">
        <v>19</v>
      </c>
      <c r="H142">
        <v>4</v>
      </c>
      <c r="I142">
        <v>65000</v>
      </c>
      <c r="J142">
        <v>0</v>
      </c>
      <c r="K142" s="2" t="s">
        <v>20</v>
      </c>
      <c r="L142" s="2" t="s">
        <v>83</v>
      </c>
      <c r="M142">
        <v>260000</v>
      </c>
      <c r="N142">
        <v>0</v>
      </c>
      <c r="O142">
        <v>260000</v>
      </c>
    </row>
    <row r="143" spans="1:15">
      <c r="A143">
        <v>10142</v>
      </c>
      <c r="B143" s="1">
        <v>45703</v>
      </c>
      <c r="C143" s="2" t="s">
        <v>22</v>
      </c>
      <c r="D143" s="2" t="s">
        <v>56</v>
      </c>
      <c r="E143" s="2" t="s">
        <v>17</v>
      </c>
      <c r="F143" s="2" t="s">
        <v>25</v>
      </c>
      <c r="G143" s="2" t="s">
        <v>19</v>
      </c>
      <c r="H143">
        <v>7</v>
      </c>
      <c r="I143">
        <v>11400</v>
      </c>
      <c r="J143">
        <v>0.05</v>
      </c>
      <c r="K143" s="2" t="s">
        <v>26</v>
      </c>
      <c r="L143" s="2" t="s">
        <v>84</v>
      </c>
      <c r="M143">
        <v>79800</v>
      </c>
      <c r="N143">
        <v>3990</v>
      </c>
      <c r="O143">
        <v>75810</v>
      </c>
    </row>
    <row r="144" spans="1:15">
      <c r="A144">
        <v>10143</v>
      </c>
      <c r="B144" s="1">
        <v>45733</v>
      </c>
      <c r="C144" s="2" t="s">
        <v>28</v>
      </c>
      <c r="D144" s="2" t="s">
        <v>59</v>
      </c>
      <c r="E144" s="2" t="s">
        <v>24</v>
      </c>
      <c r="F144" s="2" t="s">
        <v>31</v>
      </c>
      <c r="G144" s="2" t="s">
        <v>19</v>
      </c>
      <c r="H144">
        <v>5</v>
      </c>
      <c r="I144">
        <v>1890</v>
      </c>
      <c r="J144">
        <v>0.1</v>
      </c>
      <c r="K144" s="2" t="s">
        <v>32</v>
      </c>
      <c r="L144" s="2" t="s">
        <v>85</v>
      </c>
      <c r="M144">
        <v>9450</v>
      </c>
      <c r="N144">
        <v>945</v>
      </c>
      <c r="O144">
        <v>8505</v>
      </c>
    </row>
    <row r="145" spans="1:15">
      <c r="A145">
        <v>10144</v>
      </c>
      <c r="B145" s="1">
        <v>45725</v>
      </c>
      <c r="C145" s="2" t="s">
        <v>34</v>
      </c>
      <c r="D145" s="2" t="s">
        <v>61</v>
      </c>
      <c r="E145" s="2" t="s">
        <v>30</v>
      </c>
      <c r="F145" s="2" t="s">
        <v>36</v>
      </c>
      <c r="G145" s="2" t="s">
        <v>19</v>
      </c>
      <c r="H145">
        <v>2</v>
      </c>
      <c r="I145">
        <v>760</v>
      </c>
      <c r="J145">
        <v>0</v>
      </c>
      <c r="K145" s="2" t="s">
        <v>37</v>
      </c>
      <c r="L145" s="2" t="s">
        <v>86</v>
      </c>
      <c r="M145">
        <v>1520</v>
      </c>
      <c r="N145">
        <v>0</v>
      </c>
      <c r="O145">
        <v>1520</v>
      </c>
    </row>
    <row r="146" spans="1:15">
      <c r="A146">
        <v>10145</v>
      </c>
      <c r="B146" s="1">
        <v>45676</v>
      </c>
      <c r="C146" s="2" t="s">
        <v>15</v>
      </c>
      <c r="D146" s="2" t="s">
        <v>16</v>
      </c>
      <c r="E146" s="2" t="s">
        <v>17</v>
      </c>
      <c r="F146" s="2" t="s">
        <v>40</v>
      </c>
      <c r="G146" s="2" t="s">
        <v>41</v>
      </c>
      <c r="H146">
        <v>7</v>
      </c>
      <c r="I146">
        <v>8925</v>
      </c>
      <c r="J146">
        <v>0.1</v>
      </c>
      <c r="K146" s="2" t="s">
        <v>20</v>
      </c>
      <c r="L146" s="2" t="s">
        <v>87</v>
      </c>
      <c r="M146">
        <v>62475</v>
      </c>
      <c r="N146">
        <v>6247.5</v>
      </c>
      <c r="O146">
        <v>56227.5</v>
      </c>
    </row>
    <row r="147" spans="1:15">
      <c r="A147">
        <v>10146</v>
      </c>
      <c r="B147" s="1">
        <v>45667</v>
      </c>
      <c r="C147" s="2" t="s">
        <v>22</v>
      </c>
      <c r="D147" s="2" t="s">
        <v>23</v>
      </c>
      <c r="E147" s="2" t="s">
        <v>24</v>
      </c>
      <c r="F147" s="2" t="s">
        <v>44</v>
      </c>
      <c r="G147" s="2" t="s">
        <v>41</v>
      </c>
      <c r="H147">
        <v>1</v>
      </c>
      <c r="I147">
        <v>13300</v>
      </c>
      <c r="J147">
        <v>0.2</v>
      </c>
      <c r="K147" s="2" t="s">
        <v>26</v>
      </c>
      <c r="L147" s="2" t="s">
        <v>88</v>
      </c>
      <c r="M147">
        <v>13300</v>
      </c>
      <c r="N147">
        <v>2660</v>
      </c>
      <c r="O147">
        <v>10640</v>
      </c>
    </row>
    <row r="148" spans="1:15">
      <c r="A148">
        <v>10147</v>
      </c>
      <c r="B148" s="1">
        <v>45675</v>
      </c>
      <c r="C148" s="2" t="s">
        <v>28</v>
      </c>
      <c r="D148" s="2" t="s">
        <v>29</v>
      </c>
      <c r="E148" s="2" t="s">
        <v>30</v>
      </c>
      <c r="F148" s="2" t="s">
        <v>47</v>
      </c>
      <c r="G148" s="2" t="s">
        <v>19</v>
      </c>
      <c r="H148">
        <v>3</v>
      </c>
      <c r="I148">
        <v>11000</v>
      </c>
      <c r="J148">
        <v>0.2</v>
      </c>
      <c r="K148" s="2" t="s">
        <v>32</v>
      </c>
      <c r="L148" s="2" t="s">
        <v>89</v>
      </c>
      <c r="M148">
        <v>33000</v>
      </c>
      <c r="N148">
        <v>6600</v>
      </c>
      <c r="O148">
        <v>26400</v>
      </c>
    </row>
    <row r="149" spans="1:15">
      <c r="A149">
        <v>10148</v>
      </c>
      <c r="B149" s="1">
        <v>45821</v>
      </c>
      <c r="C149" s="2" t="s">
        <v>34</v>
      </c>
      <c r="D149" s="2" t="s">
        <v>35</v>
      </c>
      <c r="E149" s="2" t="s">
        <v>17</v>
      </c>
      <c r="F149" s="2" t="s">
        <v>50</v>
      </c>
      <c r="G149" s="2" t="s">
        <v>51</v>
      </c>
      <c r="H149">
        <v>6</v>
      </c>
      <c r="I149">
        <v>126</v>
      </c>
      <c r="J149">
        <v>0.2</v>
      </c>
      <c r="K149" s="2" t="s">
        <v>37</v>
      </c>
      <c r="L149" s="2" t="s">
        <v>90</v>
      </c>
      <c r="M149">
        <v>756</v>
      </c>
      <c r="N149">
        <v>151.20000000000002</v>
      </c>
      <c r="O149">
        <v>604.79999999999995</v>
      </c>
    </row>
    <row r="150" spans="1:15">
      <c r="A150">
        <v>10149</v>
      </c>
      <c r="B150" s="1">
        <v>45803</v>
      </c>
      <c r="C150" s="2" t="s">
        <v>15</v>
      </c>
      <c r="D150" s="2" t="s">
        <v>39</v>
      </c>
      <c r="E150" s="2" t="s">
        <v>24</v>
      </c>
      <c r="F150" s="2" t="s">
        <v>54</v>
      </c>
      <c r="G150" s="2" t="s">
        <v>51</v>
      </c>
      <c r="H150">
        <v>2</v>
      </c>
      <c r="I150">
        <v>180</v>
      </c>
      <c r="J150">
        <v>0.2</v>
      </c>
      <c r="K150" s="2" t="s">
        <v>20</v>
      </c>
      <c r="L150" s="2" t="s">
        <v>91</v>
      </c>
      <c r="M150">
        <v>360</v>
      </c>
      <c r="N150">
        <v>72</v>
      </c>
      <c r="O150">
        <v>288</v>
      </c>
    </row>
    <row r="151" spans="1:15">
      <c r="A151">
        <v>10150</v>
      </c>
      <c r="B151" s="1">
        <v>45774</v>
      </c>
      <c r="C151" s="2" t="s">
        <v>22</v>
      </c>
      <c r="D151" s="2" t="s">
        <v>68</v>
      </c>
      <c r="E151" s="2" t="s">
        <v>30</v>
      </c>
      <c r="F151" s="2" t="s">
        <v>57</v>
      </c>
      <c r="G151" s="2" t="s">
        <v>19</v>
      </c>
      <c r="H151">
        <v>5</v>
      </c>
      <c r="I151">
        <v>2500</v>
      </c>
      <c r="J151">
        <v>0.15</v>
      </c>
      <c r="K151" s="2" t="s">
        <v>26</v>
      </c>
      <c r="L151" s="2" t="s">
        <v>92</v>
      </c>
      <c r="M151">
        <v>12500</v>
      </c>
      <c r="N151">
        <v>1875</v>
      </c>
      <c r="O151">
        <v>10625</v>
      </c>
    </row>
    <row r="152" spans="1:15">
      <c r="A152">
        <v>10151</v>
      </c>
      <c r="B152" s="1">
        <v>45682</v>
      </c>
      <c r="C152" s="2" t="s">
        <v>28</v>
      </c>
      <c r="D152" s="2" t="s">
        <v>46</v>
      </c>
      <c r="E152" s="2" t="s">
        <v>17</v>
      </c>
      <c r="F152" s="2" t="s">
        <v>18</v>
      </c>
      <c r="G152" s="2" t="s">
        <v>19</v>
      </c>
      <c r="H152">
        <v>5</v>
      </c>
      <c r="I152">
        <v>65000</v>
      </c>
      <c r="J152">
        <v>0.15</v>
      </c>
      <c r="K152" s="2" t="s">
        <v>32</v>
      </c>
      <c r="L152" s="2" t="s">
        <v>93</v>
      </c>
      <c r="M152">
        <v>325000</v>
      </c>
      <c r="N152">
        <v>48750</v>
      </c>
      <c r="O152">
        <v>276250</v>
      </c>
    </row>
    <row r="153" spans="1:15">
      <c r="A153">
        <v>10152</v>
      </c>
      <c r="B153" s="1">
        <v>45751</v>
      </c>
      <c r="C153" s="2" t="s">
        <v>34</v>
      </c>
      <c r="D153" s="2" t="s">
        <v>49</v>
      </c>
      <c r="E153" s="2" t="s">
        <v>24</v>
      </c>
      <c r="F153" s="2" t="s">
        <v>25</v>
      </c>
      <c r="G153" s="2" t="s">
        <v>19</v>
      </c>
      <c r="H153">
        <v>6</v>
      </c>
      <c r="I153">
        <v>12000</v>
      </c>
      <c r="J153">
        <v>0.1</v>
      </c>
      <c r="K153" s="2" t="s">
        <v>37</v>
      </c>
      <c r="L153" s="2" t="s">
        <v>94</v>
      </c>
      <c r="M153">
        <v>72000</v>
      </c>
      <c r="N153">
        <v>7200</v>
      </c>
      <c r="O153">
        <v>64800</v>
      </c>
    </row>
    <row r="154" spans="1:15">
      <c r="A154">
        <v>10153</v>
      </c>
      <c r="B154" s="1">
        <v>45741</v>
      </c>
      <c r="C154" s="2" t="s">
        <v>15</v>
      </c>
      <c r="D154" s="2" t="s">
        <v>53</v>
      </c>
      <c r="E154" s="2" t="s">
        <v>30</v>
      </c>
      <c r="F154" s="2" t="s">
        <v>31</v>
      </c>
      <c r="G154" s="2" t="s">
        <v>19</v>
      </c>
      <c r="H154">
        <v>7</v>
      </c>
      <c r="I154">
        <v>1890</v>
      </c>
      <c r="J154">
        <v>0.2</v>
      </c>
      <c r="K154" s="2" t="s">
        <v>20</v>
      </c>
      <c r="L154" s="2" t="s">
        <v>95</v>
      </c>
      <c r="M154">
        <v>13230</v>
      </c>
      <c r="N154">
        <v>2646</v>
      </c>
      <c r="O154">
        <v>10584</v>
      </c>
    </row>
    <row r="155" spans="1:15">
      <c r="A155">
        <v>10154</v>
      </c>
      <c r="B155" s="1">
        <v>45773</v>
      </c>
      <c r="C155" s="2" t="s">
        <v>22</v>
      </c>
      <c r="D155" s="2" t="s">
        <v>56</v>
      </c>
      <c r="E155" s="2" t="s">
        <v>17</v>
      </c>
      <c r="F155" s="2" t="s">
        <v>36</v>
      </c>
      <c r="G155" s="2" t="s">
        <v>19</v>
      </c>
      <c r="H155">
        <v>6</v>
      </c>
      <c r="I155">
        <v>800</v>
      </c>
      <c r="J155">
        <v>0.05</v>
      </c>
      <c r="K155" s="2" t="s">
        <v>26</v>
      </c>
      <c r="L155" s="2" t="s">
        <v>96</v>
      </c>
      <c r="M155">
        <v>4800</v>
      </c>
      <c r="N155">
        <v>240</v>
      </c>
      <c r="O155">
        <v>4560</v>
      </c>
    </row>
    <row r="156" spans="1:15">
      <c r="A156">
        <v>10155</v>
      </c>
      <c r="B156" s="1">
        <v>45683</v>
      </c>
      <c r="C156" s="2" t="s">
        <v>28</v>
      </c>
      <c r="D156" s="2" t="s">
        <v>59</v>
      </c>
      <c r="E156" s="2" t="s">
        <v>24</v>
      </c>
      <c r="F156" s="2" t="s">
        <v>40</v>
      </c>
      <c r="G156" s="2" t="s">
        <v>41</v>
      </c>
      <c r="H156">
        <v>2</v>
      </c>
      <c r="I156">
        <v>8075</v>
      </c>
      <c r="J156">
        <v>0.05</v>
      </c>
      <c r="K156" s="2" t="s">
        <v>32</v>
      </c>
      <c r="L156" s="2" t="s">
        <v>97</v>
      </c>
      <c r="M156">
        <v>16150</v>
      </c>
      <c r="N156">
        <v>807.5</v>
      </c>
      <c r="O156">
        <v>15342.5</v>
      </c>
    </row>
    <row r="157" spans="1:15">
      <c r="A157">
        <v>10156</v>
      </c>
      <c r="B157" s="1">
        <v>45733</v>
      </c>
      <c r="C157" s="2" t="s">
        <v>34</v>
      </c>
      <c r="D157" s="2" t="s">
        <v>61</v>
      </c>
      <c r="E157" s="2" t="s">
        <v>30</v>
      </c>
      <c r="F157" s="2" t="s">
        <v>44</v>
      </c>
      <c r="G157" s="2" t="s">
        <v>41</v>
      </c>
      <c r="H157">
        <v>4</v>
      </c>
      <c r="I157">
        <v>13300</v>
      </c>
      <c r="J157">
        <v>0.1</v>
      </c>
      <c r="K157" s="2" t="s">
        <v>37</v>
      </c>
      <c r="L157" s="2" t="s">
        <v>98</v>
      </c>
      <c r="M157">
        <v>53200</v>
      </c>
      <c r="N157">
        <v>5320</v>
      </c>
      <c r="O157">
        <v>47880</v>
      </c>
    </row>
    <row r="158" spans="1:15">
      <c r="A158">
        <v>10157</v>
      </c>
      <c r="B158" s="1">
        <v>45724</v>
      </c>
      <c r="C158" s="2" t="s">
        <v>15</v>
      </c>
      <c r="D158" s="2" t="s">
        <v>16</v>
      </c>
      <c r="E158" s="2" t="s">
        <v>17</v>
      </c>
      <c r="F158" s="2" t="s">
        <v>47</v>
      </c>
      <c r="G158" s="2" t="s">
        <v>19</v>
      </c>
      <c r="H158">
        <v>5</v>
      </c>
      <c r="I158">
        <v>11000</v>
      </c>
      <c r="J158">
        <v>0.05</v>
      </c>
      <c r="K158" s="2" t="s">
        <v>20</v>
      </c>
      <c r="L158" s="2" t="s">
        <v>99</v>
      </c>
      <c r="M158">
        <v>55000</v>
      </c>
      <c r="N158">
        <v>2750</v>
      </c>
      <c r="O158">
        <v>52250</v>
      </c>
    </row>
    <row r="159" spans="1:15">
      <c r="A159">
        <v>10158</v>
      </c>
      <c r="B159" s="1">
        <v>45717</v>
      </c>
      <c r="C159" s="2" t="s">
        <v>22</v>
      </c>
      <c r="D159" s="2" t="s">
        <v>23</v>
      </c>
      <c r="E159" s="2" t="s">
        <v>24</v>
      </c>
      <c r="F159" s="2" t="s">
        <v>50</v>
      </c>
      <c r="G159" s="2" t="s">
        <v>51</v>
      </c>
      <c r="H159">
        <v>4</v>
      </c>
      <c r="I159">
        <v>120</v>
      </c>
      <c r="J159">
        <v>0.05</v>
      </c>
      <c r="K159" s="2" t="s">
        <v>26</v>
      </c>
      <c r="L159" s="2" t="s">
        <v>100</v>
      </c>
      <c r="M159">
        <v>480</v>
      </c>
      <c r="N159">
        <v>24</v>
      </c>
      <c r="O159">
        <v>456</v>
      </c>
    </row>
    <row r="160" spans="1:15">
      <c r="A160">
        <v>10159</v>
      </c>
      <c r="B160" s="1">
        <v>45782</v>
      </c>
      <c r="C160" s="2" t="s">
        <v>28</v>
      </c>
      <c r="D160" s="2" t="s">
        <v>29</v>
      </c>
      <c r="E160" s="2" t="s">
        <v>30</v>
      </c>
      <c r="F160" s="2" t="s">
        <v>54</v>
      </c>
      <c r="G160" s="2" t="s">
        <v>51</v>
      </c>
      <c r="H160">
        <v>4</v>
      </c>
      <c r="I160">
        <v>171</v>
      </c>
      <c r="J160">
        <v>0.05</v>
      </c>
      <c r="K160" s="2" t="s">
        <v>32</v>
      </c>
      <c r="L160" s="2" t="s">
        <v>101</v>
      </c>
      <c r="M160">
        <v>684</v>
      </c>
      <c r="N160">
        <v>34.200000000000003</v>
      </c>
      <c r="O160">
        <v>649.79999999999995</v>
      </c>
    </row>
    <row r="161" spans="1:15">
      <c r="A161">
        <v>10160</v>
      </c>
      <c r="B161" s="1">
        <v>45829</v>
      </c>
      <c r="C161" s="2" t="s">
        <v>34</v>
      </c>
      <c r="D161" s="2" t="s">
        <v>35</v>
      </c>
      <c r="E161" s="2" t="s">
        <v>17</v>
      </c>
      <c r="F161" s="2" t="s">
        <v>57</v>
      </c>
      <c r="G161" s="2" t="s">
        <v>19</v>
      </c>
      <c r="H161">
        <v>2</v>
      </c>
      <c r="I161">
        <v>2625</v>
      </c>
      <c r="J161">
        <v>0.05</v>
      </c>
      <c r="K161" s="2" t="s">
        <v>37</v>
      </c>
      <c r="L161" s="2" t="s">
        <v>102</v>
      </c>
      <c r="M161">
        <v>5250</v>
      </c>
      <c r="N161">
        <v>262.5</v>
      </c>
      <c r="O161">
        <v>4987.5</v>
      </c>
    </row>
    <row r="162" spans="1:15">
      <c r="A162">
        <v>10161</v>
      </c>
      <c r="B162" s="1">
        <v>45745</v>
      </c>
      <c r="C162" s="2" t="s">
        <v>15</v>
      </c>
      <c r="D162" s="2" t="s">
        <v>39</v>
      </c>
      <c r="E162" s="2" t="s">
        <v>24</v>
      </c>
      <c r="F162" s="2" t="s">
        <v>18</v>
      </c>
      <c r="G162" s="2" t="s">
        <v>19</v>
      </c>
      <c r="H162">
        <v>5</v>
      </c>
      <c r="I162">
        <v>68250</v>
      </c>
      <c r="J162">
        <v>0.2</v>
      </c>
      <c r="K162" s="2" t="s">
        <v>20</v>
      </c>
      <c r="L162" s="2" t="s">
        <v>103</v>
      </c>
      <c r="M162">
        <v>341250</v>
      </c>
      <c r="N162">
        <v>68250</v>
      </c>
      <c r="O162">
        <v>273000</v>
      </c>
    </row>
    <row r="163" spans="1:15">
      <c r="A163">
        <v>10162</v>
      </c>
      <c r="B163" s="1">
        <v>45754</v>
      </c>
      <c r="C163" s="2" t="s">
        <v>22</v>
      </c>
      <c r="D163" s="2" t="s">
        <v>68</v>
      </c>
      <c r="E163" s="2" t="s">
        <v>30</v>
      </c>
      <c r="F163" s="2" t="s">
        <v>25</v>
      </c>
      <c r="G163" s="2" t="s">
        <v>19</v>
      </c>
      <c r="H163">
        <v>6</v>
      </c>
      <c r="I163">
        <v>12000</v>
      </c>
      <c r="J163">
        <v>0.05</v>
      </c>
      <c r="K163" s="2" t="s">
        <v>26</v>
      </c>
      <c r="L163" s="2" t="s">
        <v>104</v>
      </c>
      <c r="M163">
        <v>72000</v>
      </c>
      <c r="N163">
        <v>3600</v>
      </c>
      <c r="O163">
        <v>68400</v>
      </c>
    </row>
    <row r="164" spans="1:15">
      <c r="A164">
        <v>10163</v>
      </c>
      <c r="B164" s="1">
        <v>45776</v>
      </c>
      <c r="C164" s="2" t="s">
        <v>28</v>
      </c>
      <c r="D164" s="2" t="s">
        <v>46</v>
      </c>
      <c r="E164" s="2" t="s">
        <v>17</v>
      </c>
      <c r="F164" s="2" t="s">
        <v>31</v>
      </c>
      <c r="G164" s="2" t="s">
        <v>19</v>
      </c>
      <c r="H164">
        <v>7</v>
      </c>
      <c r="I164">
        <v>1800</v>
      </c>
      <c r="J164">
        <v>0.2</v>
      </c>
      <c r="K164" s="2" t="s">
        <v>32</v>
      </c>
      <c r="L164" s="2" t="s">
        <v>105</v>
      </c>
      <c r="M164">
        <v>12600</v>
      </c>
      <c r="N164">
        <v>2520</v>
      </c>
      <c r="O164">
        <v>10080</v>
      </c>
    </row>
    <row r="165" spans="1:15">
      <c r="A165">
        <v>10164</v>
      </c>
      <c r="B165" s="1">
        <v>45754</v>
      </c>
      <c r="C165" s="2" t="s">
        <v>34</v>
      </c>
      <c r="D165" s="2" t="s">
        <v>49</v>
      </c>
      <c r="E165" s="2" t="s">
        <v>24</v>
      </c>
      <c r="F165" s="2" t="s">
        <v>36</v>
      </c>
      <c r="G165" s="2" t="s">
        <v>19</v>
      </c>
      <c r="H165">
        <v>2</v>
      </c>
      <c r="I165">
        <v>800</v>
      </c>
      <c r="J165">
        <v>0.2</v>
      </c>
      <c r="K165" s="2" t="s">
        <v>37</v>
      </c>
      <c r="L165" s="2" t="s">
        <v>106</v>
      </c>
      <c r="M165">
        <v>1600</v>
      </c>
      <c r="N165">
        <v>320</v>
      </c>
      <c r="O165">
        <v>1280</v>
      </c>
    </row>
    <row r="166" spans="1:15">
      <c r="A166">
        <v>10165</v>
      </c>
      <c r="B166" s="1">
        <v>45710</v>
      </c>
      <c r="C166" s="2" t="s">
        <v>15</v>
      </c>
      <c r="D166" s="2" t="s">
        <v>53</v>
      </c>
      <c r="E166" s="2" t="s">
        <v>30</v>
      </c>
      <c r="F166" s="2" t="s">
        <v>40</v>
      </c>
      <c r="G166" s="2" t="s">
        <v>41</v>
      </c>
      <c r="H166">
        <v>6</v>
      </c>
      <c r="I166">
        <v>8075</v>
      </c>
      <c r="J166">
        <v>0.15</v>
      </c>
      <c r="K166" s="2" t="s">
        <v>20</v>
      </c>
      <c r="L166" s="2" t="s">
        <v>107</v>
      </c>
      <c r="M166">
        <v>48450</v>
      </c>
      <c r="N166">
        <v>7267.5</v>
      </c>
      <c r="O166">
        <v>41182.5</v>
      </c>
    </row>
    <row r="167" spans="1:15">
      <c r="A167">
        <v>10166</v>
      </c>
      <c r="B167" s="1">
        <v>45694</v>
      </c>
      <c r="C167" s="2" t="s">
        <v>22</v>
      </c>
      <c r="D167" s="2" t="s">
        <v>56</v>
      </c>
      <c r="E167" s="2" t="s">
        <v>17</v>
      </c>
      <c r="F167" s="2" t="s">
        <v>44</v>
      </c>
      <c r="G167" s="2" t="s">
        <v>41</v>
      </c>
      <c r="H167">
        <v>2</v>
      </c>
      <c r="I167">
        <v>13300</v>
      </c>
      <c r="J167">
        <v>0.15</v>
      </c>
      <c r="K167" s="2" t="s">
        <v>26</v>
      </c>
      <c r="L167" s="2" t="s">
        <v>21</v>
      </c>
      <c r="M167">
        <v>26600</v>
      </c>
      <c r="N167">
        <v>3990</v>
      </c>
      <c r="O167">
        <v>22610</v>
      </c>
    </row>
    <row r="168" spans="1:15">
      <c r="A168">
        <v>10167</v>
      </c>
      <c r="B168" s="1">
        <v>45813</v>
      </c>
      <c r="C168" s="2" t="s">
        <v>28</v>
      </c>
      <c r="D168" s="2" t="s">
        <v>59</v>
      </c>
      <c r="E168" s="2" t="s">
        <v>24</v>
      </c>
      <c r="F168" s="2" t="s">
        <v>47</v>
      </c>
      <c r="G168" s="2" t="s">
        <v>19</v>
      </c>
      <c r="H168">
        <v>5</v>
      </c>
      <c r="I168">
        <v>11000</v>
      </c>
      <c r="J168">
        <v>0.15</v>
      </c>
      <c r="K168" s="2" t="s">
        <v>32</v>
      </c>
      <c r="L168" s="2" t="s">
        <v>27</v>
      </c>
      <c r="M168">
        <v>55000</v>
      </c>
      <c r="N168">
        <v>8250</v>
      </c>
      <c r="O168">
        <v>46750</v>
      </c>
    </row>
    <row r="169" spans="1:15">
      <c r="A169">
        <v>10168</v>
      </c>
      <c r="B169" s="1">
        <v>45769</v>
      </c>
      <c r="C169" s="2" t="s">
        <v>34</v>
      </c>
      <c r="D169" s="2" t="s">
        <v>61</v>
      </c>
      <c r="E169" s="2" t="s">
        <v>30</v>
      </c>
      <c r="F169" s="2" t="s">
        <v>50</v>
      </c>
      <c r="G169" s="2" t="s">
        <v>51</v>
      </c>
      <c r="H169">
        <v>7</v>
      </c>
      <c r="I169">
        <v>126</v>
      </c>
      <c r="J169">
        <v>0</v>
      </c>
      <c r="K169" s="2" t="s">
        <v>37</v>
      </c>
      <c r="L169" s="2" t="s">
        <v>33</v>
      </c>
      <c r="M169">
        <v>882</v>
      </c>
      <c r="N169">
        <v>0</v>
      </c>
      <c r="O169">
        <v>882</v>
      </c>
    </row>
    <row r="170" spans="1:15">
      <c r="A170">
        <v>10169</v>
      </c>
      <c r="B170" s="1">
        <v>45789</v>
      </c>
      <c r="C170" s="2" t="s">
        <v>15</v>
      </c>
      <c r="D170" s="2" t="s">
        <v>16</v>
      </c>
      <c r="E170" s="2" t="s">
        <v>17</v>
      </c>
      <c r="F170" s="2" t="s">
        <v>54</v>
      </c>
      <c r="G170" s="2" t="s">
        <v>51</v>
      </c>
      <c r="H170">
        <v>5</v>
      </c>
      <c r="I170">
        <v>180</v>
      </c>
      <c r="J170">
        <v>0</v>
      </c>
      <c r="K170" s="2" t="s">
        <v>20</v>
      </c>
      <c r="L170" s="2" t="s">
        <v>38</v>
      </c>
      <c r="M170">
        <v>900</v>
      </c>
      <c r="N170">
        <v>0</v>
      </c>
      <c r="O170">
        <v>900</v>
      </c>
    </row>
    <row r="171" spans="1:15">
      <c r="A171">
        <v>10170</v>
      </c>
      <c r="B171" s="1">
        <v>45827</v>
      </c>
      <c r="C171" s="2" t="s">
        <v>22</v>
      </c>
      <c r="D171" s="2" t="s">
        <v>23</v>
      </c>
      <c r="E171" s="2" t="s">
        <v>24</v>
      </c>
      <c r="F171" s="2" t="s">
        <v>57</v>
      </c>
      <c r="G171" s="2" t="s">
        <v>19</v>
      </c>
      <c r="H171">
        <v>5</v>
      </c>
      <c r="I171">
        <v>2500</v>
      </c>
      <c r="J171">
        <v>0</v>
      </c>
      <c r="K171" s="2" t="s">
        <v>26</v>
      </c>
      <c r="L171" s="2" t="s">
        <v>42</v>
      </c>
      <c r="M171">
        <v>12500</v>
      </c>
      <c r="N171">
        <v>0</v>
      </c>
      <c r="O171">
        <v>12500</v>
      </c>
    </row>
    <row r="172" spans="1:15">
      <c r="A172">
        <v>10171</v>
      </c>
      <c r="B172" s="1">
        <v>45831</v>
      </c>
      <c r="C172" s="2" t="s">
        <v>28</v>
      </c>
      <c r="D172" s="2" t="s">
        <v>29</v>
      </c>
      <c r="E172" s="2" t="s">
        <v>30</v>
      </c>
      <c r="F172" s="2" t="s">
        <v>18</v>
      </c>
      <c r="G172" s="2" t="s">
        <v>19</v>
      </c>
      <c r="H172">
        <v>6</v>
      </c>
      <c r="I172">
        <v>68250</v>
      </c>
      <c r="J172">
        <v>0</v>
      </c>
      <c r="K172" s="2" t="s">
        <v>32</v>
      </c>
      <c r="L172" s="2" t="s">
        <v>45</v>
      </c>
      <c r="M172">
        <v>409500</v>
      </c>
      <c r="N172">
        <v>0</v>
      </c>
      <c r="O172">
        <v>409500</v>
      </c>
    </row>
    <row r="173" spans="1:15">
      <c r="A173">
        <v>10172</v>
      </c>
      <c r="B173" s="1">
        <v>45765</v>
      </c>
      <c r="C173" s="2" t="s">
        <v>34</v>
      </c>
      <c r="D173" s="2" t="s">
        <v>35</v>
      </c>
      <c r="E173" s="2" t="s">
        <v>17</v>
      </c>
      <c r="F173" s="2" t="s">
        <v>25</v>
      </c>
      <c r="G173" s="2" t="s">
        <v>19</v>
      </c>
      <c r="H173">
        <v>2</v>
      </c>
      <c r="I173">
        <v>12000</v>
      </c>
      <c r="J173">
        <v>0.2</v>
      </c>
      <c r="K173" s="2" t="s">
        <v>37</v>
      </c>
      <c r="L173" s="2" t="s">
        <v>48</v>
      </c>
      <c r="M173">
        <v>24000</v>
      </c>
      <c r="N173">
        <v>4800</v>
      </c>
      <c r="O173">
        <v>19200</v>
      </c>
    </row>
    <row r="174" spans="1:15">
      <c r="A174">
        <v>10173</v>
      </c>
      <c r="B174" s="1">
        <v>45801</v>
      </c>
      <c r="C174" s="2" t="s">
        <v>15</v>
      </c>
      <c r="D174" s="2" t="s">
        <v>39</v>
      </c>
      <c r="E174" s="2" t="s">
        <v>24</v>
      </c>
      <c r="F174" s="2" t="s">
        <v>31</v>
      </c>
      <c r="G174" s="2" t="s">
        <v>19</v>
      </c>
      <c r="H174">
        <v>4</v>
      </c>
      <c r="I174">
        <v>1890</v>
      </c>
      <c r="J174">
        <v>0.15</v>
      </c>
      <c r="K174" s="2" t="s">
        <v>20</v>
      </c>
      <c r="L174" s="2" t="s">
        <v>52</v>
      </c>
      <c r="M174">
        <v>7560</v>
      </c>
      <c r="N174">
        <v>1134</v>
      </c>
      <c r="O174">
        <v>6426</v>
      </c>
    </row>
    <row r="175" spans="1:15">
      <c r="A175">
        <v>10174</v>
      </c>
      <c r="B175" s="1">
        <v>45703</v>
      </c>
      <c r="C175" s="2" t="s">
        <v>22</v>
      </c>
      <c r="D175" s="2" t="s">
        <v>68</v>
      </c>
      <c r="E175" s="2" t="s">
        <v>30</v>
      </c>
      <c r="F175" s="2" t="s">
        <v>36</v>
      </c>
      <c r="G175" s="2" t="s">
        <v>19</v>
      </c>
      <c r="H175">
        <v>7</v>
      </c>
      <c r="I175">
        <v>760</v>
      </c>
      <c r="J175">
        <v>0.2</v>
      </c>
      <c r="K175" s="2" t="s">
        <v>26</v>
      </c>
      <c r="L175" s="2" t="s">
        <v>55</v>
      </c>
      <c r="M175">
        <v>5320</v>
      </c>
      <c r="N175">
        <v>1064</v>
      </c>
      <c r="O175">
        <v>4256</v>
      </c>
    </row>
    <row r="176" spans="1:15">
      <c r="A176">
        <v>10175</v>
      </c>
      <c r="B176" s="1">
        <v>45675</v>
      </c>
      <c r="C176" s="2" t="s">
        <v>28</v>
      </c>
      <c r="D176" s="2" t="s">
        <v>46</v>
      </c>
      <c r="E176" s="2" t="s">
        <v>17</v>
      </c>
      <c r="F176" s="2" t="s">
        <v>40</v>
      </c>
      <c r="G176" s="2" t="s">
        <v>41</v>
      </c>
      <c r="H176">
        <v>6</v>
      </c>
      <c r="I176">
        <v>8075</v>
      </c>
      <c r="J176">
        <v>0.1</v>
      </c>
      <c r="K176" s="2" t="s">
        <v>32</v>
      </c>
      <c r="L176" s="2" t="s">
        <v>58</v>
      </c>
      <c r="M176">
        <v>48450</v>
      </c>
      <c r="N176">
        <v>4845</v>
      </c>
      <c r="O176">
        <v>43605</v>
      </c>
    </row>
    <row r="177" spans="1:15">
      <c r="A177">
        <v>10176</v>
      </c>
      <c r="B177" s="1">
        <v>45689</v>
      </c>
      <c r="C177" s="2" t="s">
        <v>34</v>
      </c>
      <c r="D177" s="2" t="s">
        <v>49</v>
      </c>
      <c r="E177" s="2" t="s">
        <v>24</v>
      </c>
      <c r="F177" s="2" t="s">
        <v>44</v>
      </c>
      <c r="G177" s="2" t="s">
        <v>41</v>
      </c>
      <c r="H177">
        <v>4</v>
      </c>
      <c r="I177">
        <v>13300</v>
      </c>
      <c r="J177">
        <v>0.15</v>
      </c>
      <c r="K177" s="2" t="s">
        <v>37</v>
      </c>
      <c r="L177" s="2" t="s">
        <v>60</v>
      </c>
      <c r="M177">
        <v>53200</v>
      </c>
      <c r="N177">
        <v>7980</v>
      </c>
      <c r="O177">
        <v>45220</v>
      </c>
    </row>
    <row r="178" spans="1:15">
      <c r="A178">
        <v>10177</v>
      </c>
      <c r="B178" s="1">
        <v>45761</v>
      </c>
      <c r="C178" s="2" t="s">
        <v>15</v>
      </c>
      <c r="D178" s="2" t="s">
        <v>53</v>
      </c>
      <c r="E178" s="2" t="s">
        <v>30</v>
      </c>
      <c r="F178" s="2" t="s">
        <v>47</v>
      </c>
      <c r="G178" s="2" t="s">
        <v>19</v>
      </c>
      <c r="H178">
        <v>1</v>
      </c>
      <c r="I178">
        <v>10450</v>
      </c>
      <c r="J178">
        <v>0.1</v>
      </c>
      <c r="K178" s="2" t="s">
        <v>20</v>
      </c>
      <c r="L178" s="2" t="s">
        <v>62</v>
      </c>
      <c r="M178">
        <v>10450</v>
      </c>
      <c r="N178">
        <v>1045</v>
      </c>
      <c r="O178">
        <v>9405</v>
      </c>
    </row>
    <row r="179" spans="1:15">
      <c r="A179">
        <v>10178</v>
      </c>
      <c r="B179" s="1">
        <v>45752</v>
      </c>
      <c r="C179" s="2" t="s">
        <v>22</v>
      </c>
      <c r="D179" s="2" t="s">
        <v>56</v>
      </c>
      <c r="E179" s="2" t="s">
        <v>17</v>
      </c>
      <c r="F179" s="2" t="s">
        <v>50</v>
      </c>
      <c r="G179" s="2" t="s">
        <v>51</v>
      </c>
      <c r="H179">
        <v>4</v>
      </c>
      <c r="I179">
        <v>120</v>
      </c>
      <c r="J179">
        <v>0.1</v>
      </c>
      <c r="K179" s="2" t="s">
        <v>26</v>
      </c>
      <c r="L179" s="2" t="s">
        <v>63</v>
      </c>
      <c r="M179">
        <v>480</v>
      </c>
      <c r="N179">
        <v>48</v>
      </c>
      <c r="O179">
        <v>432</v>
      </c>
    </row>
    <row r="180" spans="1:15">
      <c r="A180">
        <v>10179</v>
      </c>
      <c r="B180" s="1">
        <v>45802</v>
      </c>
      <c r="C180" s="2" t="s">
        <v>28</v>
      </c>
      <c r="D180" s="2" t="s">
        <v>59</v>
      </c>
      <c r="E180" s="2" t="s">
        <v>24</v>
      </c>
      <c r="F180" s="2" t="s">
        <v>54</v>
      </c>
      <c r="G180" s="2" t="s">
        <v>51</v>
      </c>
      <c r="H180">
        <v>6</v>
      </c>
      <c r="I180">
        <v>189</v>
      </c>
      <c r="J180">
        <v>0.15</v>
      </c>
      <c r="K180" s="2" t="s">
        <v>32</v>
      </c>
      <c r="L180" s="2" t="s">
        <v>64</v>
      </c>
      <c r="M180">
        <v>1134</v>
      </c>
      <c r="N180">
        <v>170.1</v>
      </c>
      <c r="O180">
        <v>963.9</v>
      </c>
    </row>
    <row r="181" spans="1:15">
      <c r="A181">
        <v>10180</v>
      </c>
      <c r="B181" s="1">
        <v>45766</v>
      </c>
      <c r="C181" s="2" t="s">
        <v>34</v>
      </c>
      <c r="D181" s="2" t="s">
        <v>61</v>
      </c>
      <c r="E181" s="2" t="s">
        <v>30</v>
      </c>
      <c r="F181" s="2" t="s">
        <v>57</v>
      </c>
      <c r="G181" s="2" t="s">
        <v>19</v>
      </c>
      <c r="H181">
        <v>4</v>
      </c>
      <c r="I181">
        <v>2375</v>
      </c>
      <c r="J181">
        <v>0.1</v>
      </c>
      <c r="K181" s="2" t="s">
        <v>37</v>
      </c>
      <c r="L181" s="2" t="s">
        <v>65</v>
      </c>
      <c r="M181">
        <v>9500</v>
      </c>
      <c r="N181">
        <v>950</v>
      </c>
      <c r="O181">
        <v>8550</v>
      </c>
    </row>
    <row r="182" spans="1:15">
      <c r="A182">
        <v>10021</v>
      </c>
      <c r="B182" s="1">
        <v>45808</v>
      </c>
      <c r="C182" s="2" t="s">
        <v>15</v>
      </c>
      <c r="D182" s="2" t="s">
        <v>53</v>
      </c>
      <c r="E182" s="2" t="s">
        <v>30</v>
      </c>
      <c r="F182" s="2" t="s">
        <v>18</v>
      </c>
      <c r="G182" s="2" t="s">
        <v>19</v>
      </c>
      <c r="H182">
        <v>7</v>
      </c>
      <c r="I182">
        <v>61750</v>
      </c>
      <c r="J182">
        <v>0.1</v>
      </c>
      <c r="K182" s="2" t="s">
        <v>20</v>
      </c>
      <c r="L182" s="2" t="s">
        <v>73</v>
      </c>
      <c r="M182">
        <v>432250</v>
      </c>
      <c r="N182">
        <v>43225</v>
      </c>
      <c r="O182">
        <v>389025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32F1-DAF7-4550-99EC-95BFFE06FC7A}">
  <dimension ref="A1:O182"/>
  <sheetViews>
    <sheetView workbookViewId="0">
      <selection activeCell="E18" sqref="E18"/>
    </sheetView>
  </sheetViews>
  <sheetFormatPr defaultRowHeight="14.4"/>
  <cols>
    <col min="1" max="1" width="10.33203125" bestFit="1" customWidth="1"/>
    <col min="2" max="2" width="12.5546875" bestFit="1" customWidth="1"/>
    <col min="3" max="3" width="8.5546875" bestFit="1" customWidth="1"/>
    <col min="4" max="4" width="9.77734375" bestFit="1" customWidth="1"/>
    <col min="5" max="5" width="10.44140625" bestFit="1" customWidth="1"/>
    <col min="6" max="6" width="11.109375" bestFit="1" customWidth="1"/>
    <col min="7" max="7" width="10.5546875" bestFit="1" customWidth="1"/>
    <col min="8" max="8" width="10.33203125" bestFit="1" customWidth="1"/>
    <col min="9" max="9" width="11.6640625" bestFit="1" customWidth="1"/>
    <col min="10" max="10" width="14.77734375" bestFit="1" customWidth="1"/>
    <col min="11" max="11" width="18.5546875" bestFit="1" customWidth="1"/>
    <col min="12" max="12" width="13.6640625" bestFit="1" customWidth="1"/>
    <col min="13" max="13" width="12.5546875" bestFit="1" customWidth="1"/>
    <col min="14" max="14" width="18.21875" bestFit="1" customWidth="1"/>
    <col min="15" max="15" width="1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10001</v>
      </c>
      <c r="B2" s="1">
        <v>45737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>
        <v>1</v>
      </c>
      <c r="I2">
        <v>65000</v>
      </c>
      <c r="J2">
        <v>0.15</v>
      </c>
      <c r="K2" s="2" t="s">
        <v>20</v>
      </c>
      <c r="L2" s="2" t="s">
        <v>21</v>
      </c>
      <c r="M2">
        <v>65000</v>
      </c>
      <c r="N2">
        <v>9750</v>
      </c>
      <c r="O2">
        <v>55250</v>
      </c>
    </row>
    <row r="3" spans="1:15">
      <c r="A3">
        <v>10002</v>
      </c>
      <c r="B3" s="1">
        <v>45784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19</v>
      </c>
      <c r="H3">
        <v>4</v>
      </c>
      <c r="I3">
        <v>11400</v>
      </c>
      <c r="J3">
        <v>0.2</v>
      </c>
      <c r="K3" s="2" t="s">
        <v>26</v>
      </c>
      <c r="L3" s="2" t="s">
        <v>27</v>
      </c>
      <c r="M3">
        <v>45600</v>
      </c>
      <c r="N3">
        <v>9120</v>
      </c>
      <c r="O3">
        <v>36480</v>
      </c>
    </row>
    <row r="4" spans="1:15">
      <c r="A4">
        <v>10003</v>
      </c>
      <c r="B4" s="1">
        <v>45834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19</v>
      </c>
      <c r="H4">
        <v>2</v>
      </c>
      <c r="I4">
        <v>1800</v>
      </c>
      <c r="J4">
        <v>0</v>
      </c>
      <c r="K4" s="2" t="s">
        <v>32</v>
      </c>
      <c r="L4" s="2" t="s">
        <v>33</v>
      </c>
      <c r="M4">
        <v>3600</v>
      </c>
      <c r="N4">
        <v>0</v>
      </c>
      <c r="O4">
        <v>3600</v>
      </c>
    </row>
    <row r="5" spans="1:15">
      <c r="A5">
        <v>10004</v>
      </c>
      <c r="B5" s="1">
        <v>45800</v>
      </c>
      <c r="C5" s="2" t="s">
        <v>34</v>
      </c>
      <c r="D5" s="2" t="s">
        <v>35</v>
      </c>
      <c r="E5" s="2" t="s">
        <v>17</v>
      </c>
      <c r="F5" s="2" t="s">
        <v>36</v>
      </c>
      <c r="G5" s="2" t="s">
        <v>19</v>
      </c>
      <c r="H5">
        <v>6</v>
      </c>
      <c r="I5">
        <v>800</v>
      </c>
      <c r="J5">
        <v>0.15</v>
      </c>
      <c r="K5" s="2" t="s">
        <v>37</v>
      </c>
      <c r="L5" s="2" t="s">
        <v>38</v>
      </c>
      <c r="M5">
        <v>4800</v>
      </c>
      <c r="N5">
        <v>720</v>
      </c>
      <c r="O5">
        <v>4080</v>
      </c>
    </row>
    <row r="6" spans="1:15">
      <c r="A6">
        <v>10005</v>
      </c>
      <c r="B6" s="1">
        <v>45739</v>
      </c>
      <c r="C6" s="2" t="s">
        <v>15</v>
      </c>
      <c r="D6" s="2" t="s">
        <v>39</v>
      </c>
      <c r="E6" s="2" t="s">
        <v>24</v>
      </c>
      <c r="F6" s="2" t="s">
        <v>40</v>
      </c>
      <c r="G6" s="2" t="s">
        <v>41</v>
      </c>
      <c r="H6">
        <v>4</v>
      </c>
      <c r="I6">
        <v>8925</v>
      </c>
      <c r="J6">
        <v>0</v>
      </c>
      <c r="K6" s="2" t="s">
        <v>20</v>
      </c>
      <c r="L6" s="2" t="s">
        <v>42</v>
      </c>
      <c r="M6">
        <v>35700</v>
      </c>
      <c r="N6">
        <v>0</v>
      </c>
      <c r="O6">
        <v>35700</v>
      </c>
    </row>
    <row r="7" spans="1:15">
      <c r="A7">
        <v>10006</v>
      </c>
      <c r="B7" s="1">
        <v>45825</v>
      </c>
      <c r="C7" s="2" t="s">
        <v>22</v>
      </c>
      <c r="D7" s="2" t="s">
        <v>43</v>
      </c>
      <c r="E7" s="2" t="s">
        <v>30</v>
      </c>
      <c r="F7" s="2" t="s">
        <v>44</v>
      </c>
      <c r="G7" s="2" t="s">
        <v>41</v>
      </c>
      <c r="H7">
        <v>4</v>
      </c>
      <c r="I7">
        <v>13300</v>
      </c>
      <c r="J7">
        <v>0.05</v>
      </c>
      <c r="K7" s="2" t="s">
        <v>26</v>
      </c>
      <c r="L7" s="2" t="s">
        <v>45</v>
      </c>
      <c r="M7">
        <v>53200</v>
      </c>
      <c r="N7">
        <v>2660</v>
      </c>
      <c r="O7">
        <v>50540</v>
      </c>
    </row>
    <row r="8" spans="1:15">
      <c r="A8">
        <v>10007</v>
      </c>
      <c r="B8" s="1">
        <v>45806</v>
      </c>
      <c r="C8" s="2" t="s">
        <v>28</v>
      </c>
      <c r="D8" s="2" t="s">
        <v>46</v>
      </c>
      <c r="E8" s="2" t="s">
        <v>17</v>
      </c>
      <c r="F8" s="2" t="s">
        <v>47</v>
      </c>
      <c r="G8" s="2" t="s">
        <v>19</v>
      </c>
      <c r="H8">
        <v>6</v>
      </c>
      <c r="I8">
        <v>11000</v>
      </c>
      <c r="J8">
        <v>0.15</v>
      </c>
      <c r="K8" s="2" t="s">
        <v>32</v>
      </c>
      <c r="L8" s="2" t="s">
        <v>48</v>
      </c>
      <c r="M8">
        <v>66000</v>
      </c>
      <c r="N8">
        <v>9900</v>
      </c>
      <c r="O8">
        <v>56100</v>
      </c>
    </row>
    <row r="9" spans="1:15">
      <c r="A9">
        <v>10008</v>
      </c>
      <c r="B9" s="1">
        <v>45699</v>
      </c>
      <c r="C9" s="2" t="s">
        <v>34</v>
      </c>
      <c r="D9" s="2" t="s">
        <v>49</v>
      </c>
      <c r="E9" s="2" t="s">
        <v>24</v>
      </c>
      <c r="F9" s="2" t="s">
        <v>50</v>
      </c>
      <c r="G9" s="2" t="s">
        <v>51</v>
      </c>
      <c r="H9">
        <v>4</v>
      </c>
      <c r="I9">
        <v>120</v>
      </c>
      <c r="J9">
        <v>0.1</v>
      </c>
      <c r="K9" s="2" t="s">
        <v>37</v>
      </c>
      <c r="L9" s="2" t="s">
        <v>52</v>
      </c>
      <c r="M9">
        <v>480</v>
      </c>
      <c r="N9">
        <v>48</v>
      </c>
      <c r="O9">
        <v>432</v>
      </c>
    </row>
    <row r="10" spans="1:15">
      <c r="A10">
        <v>10009</v>
      </c>
      <c r="B10" s="1">
        <v>45669</v>
      </c>
      <c r="C10" s="2" t="s">
        <v>15</v>
      </c>
      <c r="D10" s="2" t="s">
        <v>53</v>
      </c>
      <c r="E10" s="2" t="s">
        <v>30</v>
      </c>
      <c r="F10" s="2" t="s">
        <v>54</v>
      </c>
      <c r="G10" s="2" t="s">
        <v>51</v>
      </c>
      <c r="H10">
        <v>1</v>
      </c>
      <c r="I10">
        <v>189</v>
      </c>
      <c r="J10">
        <v>0.1</v>
      </c>
      <c r="K10" s="2" t="s">
        <v>20</v>
      </c>
      <c r="L10" s="2" t="s">
        <v>55</v>
      </c>
      <c r="M10">
        <v>189</v>
      </c>
      <c r="N10">
        <v>18.900000000000002</v>
      </c>
      <c r="O10">
        <v>170.1</v>
      </c>
    </row>
    <row r="11" spans="1:15">
      <c r="A11">
        <v>10010</v>
      </c>
      <c r="B11" s="1">
        <v>45772</v>
      </c>
      <c r="C11" s="2" t="s">
        <v>22</v>
      </c>
      <c r="D11" s="2" t="s">
        <v>56</v>
      </c>
      <c r="E11" s="2" t="s">
        <v>17</v>
      </c>
      <c r="F11" s="2" t="s">
        <v>57</v>
      </c>
      <c r="G11" s="2" t="s">
        <v>19</v>
      </c>
      <c r="H11">
        <v>7</v>
      </c>
      <c r="I11">
        <v>2500</v>
      </c>
      <c r="J11">
        <v>0.2</v>
      </c>
      <c r="K11" s="2" t="s">
        <v>26</v>
      </c>
      <c r="L11" s="2" t="s">
        <v>58</v>
      </c>
      <c r="M11">
        <v>17500</v>
      </c>
      <c r="N11">
        <v>3500</v>
      </c>
      <c r="O11">
        <v>14000</v>
      </c>
    </row>
    <row r="12" spans="1:15">
      <c r="A12">
        <v>10011</v>
      </c>
      <c r="B12" s="1">
        <v>45722</v>
      </c>
      <c r="C12" s="2" t="s">
        <v>28</v>
      </c>
      <c r="D12" s="2" t="s">
        <v>59</v>
      </c>
      <c r="E12" s="2" t="s">
        <v>24</v>
      </c>
      <c r="F12" s="2" t="s">
        <v>18</v>
      </c>
      <c r="G12" s="2" t="s">
        <v>19</v>
      </c>
      <c r="H12">
        <v>2</v>
      </c>
      <c r="I12">
        <v>65000</v>
      </c>
      <c r="J12">
        <v>0.15</v>
      </c>
      <c r="K12" s="2" t="s">
        <v>32</v>
      </c>
      <c r="L12" s="2" t="s">
        <v>60</v>
      </c>
      <c r="M12">
        <v>130000</v>
      </c>
      <c r="N12">
        <v>19500</v>
      </c>
      <c r="O12">
        <v>110500</v>
      </c>
    </row>
    <row r="13" spans="1:15">
      <c r="A13">
        <v>10012</v>
      </c>
      <c r="B13" s="1">
        <v>45819</v>
      </c>
      <c r="C13" s="2" t="s">
        <v>34</v>
      </c>
      <c r="D13" s="2" t="s">
        <v>61</v>
      </c>
      <c r="E13" s="2" t="s">
        <v>30</v>
      </c>
      <c r="F13" s="2" t="s">
        <v>25</v>
      </c>
      <c r="G13" s="2" t="s">
        <v>19</v>
      </c>
      <c r="H13">
        <v>1</v>
      </c>
      <c r="I13">
        <v>12000</v>
      </c>
      <c r="J13">
        <v>0.2</v>
      </c>
      <c r="K13" s="2" t="s">
        <v>37</v>
      </c>
      <c r="L13" s="2" t="s">
        <v>62</v>
      </c>
      <c r="M13">
        <v>12000</v>
      </c>
      <c r="N13">
        <v>2400</v>
      </c>
      <c r="O13">
        <v>9600</v>
      </c>
    </row>
    <row r="14" spans="1:15">
      <c r="A14">
        <v>10013</v>
      </c>
      <c r="B14" s="1">
        <v>45693</v>
      </c>
      <c r="C14" s="2" t="s">
        <v>15</v>
      </c>
      <c r="D14" s="2" t="s">
        <v>16</v>
      </c>
      <c r="E14" s="2" t="s">
        <v>17</v>
      </c>
      <c r="F14" s="2" t="s">
        <v>31</v>
      </c>
      <c r="G14" s="2" t="s">
        <v>19</v>
      </c>
      <c r="H14">
        <v>5</v>
      </c>
      <c r="I14">
        <v>1890</v>
      </c>
      <c r="J14">
        <v>0.15</v>
      </c>
      <c r="K14" s="2" t="s">
        <v>20</v>
      </c>
      <c r="L14" s="2" t="s">
        <v>63</v>
      </c>
      <c r="M14">
        <v>9450</v>
      </c>
      <c r="N14">
        <v>1417.5</v>
      </c>
      <c r="O14">
        <v>8032.5</v>
      </c>
    </row>
    <row r="15" spans="1:15">
      <c r="A15">
        <v>10014</v>
      </c>
      <c r="B15" s="1">
        <v>45665</v>
      </c>
      <c r="C15" s="2" t="s">
        <v>22</v>
      </c>
      <c r="D15" s="2" t="s">
        <v>23</v>
      </c>
      <c r="E15" s="2" t="s">
        <v>24</v>
      </c>
      <c r="F15" s="2" t="s">
        <v>36</v>
      </c>
      <c r="G15" s="2" t="s">
        <v>19</v>
      </c>
      <c r="H15">
        <v>3</v>
      </c>
      <c r="I15">
        <v>800</v>
      </c>
      <c r="J15">
        <v>0.1</v>
      </c>
      <c r="K15" s="2" t="s">
        <v>26</v>
      </c>
      <c r="L15" s="2" t="s">
        <v>64</v>
      </c>
      <c r="M15">
        <v>2400</v>
      </c>
      <c r="N15">
        <v>240</v>
      </c>
      <c r="O15">
        <v>2160</v>
      </c>
    </row>
    <row r="16" spans="1:15">
      <c r="A16">
        <v>10015</v>
      </c>
      <c r="B16" s="1">
        <v>45781</v>
      </c>
      <c r="C16" s="2" t="s">
        <v>28</v>
      </c>
      <c r="D16" s="2" t="s">
        <v>29</v>
      </c>
      <c r="E16" s="2" t="s">
        <v>30</v>
      </c>
      <c r="F16" s="2" t="s">
        <v>40</v>
      </c>
      <c r="G16" s="2" t="s">
        <v>41</v>
      </c>
      <c r="H16">
        <v>4</v>
      </c>
      <c r="I16">
        <v>8500</v>
      </c>
      <c r="J16">
        <v>0</v>
      </c>
      <c r="K16" s="2" t="s">
        <v>32</v>
      </c>
      <c r="L16" s="2" t="s">
        <v>65</v>
      </c>
      <c r="M16">
        <v>34000</v>
      </c>
      <c r="N16">
        <v>0</v>
      </c>
      <c r="O16">
        <v>34000</v>
      </c>
    </row>
    <row r="17" spans="1:15">
      <c r="A17">
        <v>10016</v>
      </c>
      <c r="B17" s="1">
        <v>45833</v>
      </c>
      <c r="C17" s="2" t="s">
        <v>34</v>
      </c>
      <c r="D17" s="2" t="s">
        <v>35</v>
      </c>
      <c r="E17" s="2" t="s">
        <v>17</v>
      </c>
      <c r="F17" s="2" t="s">
        <v>44</v>
      </c>
      <c r="G17" s="2" t="s">
        <v>41</v>
      </c>
      <c r="H17">
        <v>7</v>
      </c>
      <c r="I17">
        <v>14000</v>
      </c>
      <c r="J17">
        <v>0.15</v>
      </c>
      <c r="K17" s="2" t="s">
        <v>37</v>
      </c>
      <c r="L17" s="2" t="s">
        <v>66</v>
      </c>
      <c r="M17">
        <v>98000</v>
      </c>
      <c r="N17">
        <v>14700</v>
      </c>
      <c r="O17">
        <v>83300</v>
      </c>
    </row>
    <row r="18" spans="1:15">
      <c r="A18">
        <v>10017</v>
      </c>
      <c r="B18" s="1">
        <v>45725</v>
      </c>
      <c r="C18" s="2" t="s">
        <v>15</v>
      </c>
      <c r="D18" s="2" t="s">
        <v>39</v>
      </c>
      <c r="E18" s="2" t="s">
        <v>24</v>
      </c>
      <c r="F18" s="2" t="s">
        <v>47</v>
      </c>
      <c r="G18" s="2" t="s">
        <v>19</v>
      </c>
      <c r="H18">
        <v>3</v>
      </c>
      <c r="I18">
        <v>11550</v>
      </c>
      <c r="J18">
        <v>0.05</v>
      </c>
      <c r="K18" s="2" t="s">
        <v>20</v>
      </c>
      <c r="L18" s="2" t="s">
        <v>67</v>
      </c>
      <c r="M18">
        <v>34650</v>
      </c>
      <c r="N18">
        <v>1732.5</v>
      </c>
      <c r="O18">
        <v>32917.5</v>
      </c>
    </row>
    <row r="19" spans="1:15">
      <c r="A19">
        <v>10018</v>
      </c>
      <c r="B19" s="1">
        <v>45692</v>
      </c>
      <c r="C19" s="2" t="s">
        <v>22</v>
      </c>
      <c r="D19" s="2" t="s">
        <v>68</v>
      </c>
      <c r="E19" s="2" t="s">
        <v>69</v>
      </c>
      <c r="F19" s="2" t="s">
        <v>50</v>
      </c>
      <c r="G19" s="2" t="s">
        <v>51</v>
      </c>
      <c r="H19">
        <v>1</v>
      </c>
      <c r="I19">
        <v>126</v>
      </c>
      <c r="J19">
        <v>0.1</v>
      </c>
      <c r="K19" s="2" t="s">
        <v>26</v>
      </c>
      <c r="L19" s="2" t="s">
        <v>70</v>
      </c>
      <c r="M19">
        <v>126</v>
      </c>
      <c r="N19">
        <v>12.600000000000001</v>
      </c>
      <c r="O19">
        <v>113.4</v>
      </c>
    </row>
    <row r="20" spans="1:15">
      <c r="A20">
        <v>10019</v>
      </c>
      <c r="B20" s="1">
        <v>45744</v>
      </c>
      <c r="C20" s="2" t="s">
        <v>28</v>
      </c>
      <c r="D20" s="2" t="s">
        <v>46</v>
      </c>
      <c r="E20" s="2" t="s">
        <v>17</v>
      </c>
      <c r="F20" s="2" t="s">
        <v>54</v>
      </c>
      <c r="G20" s="2" t="s">
        <v>51</v>
      </c>
      <c r="H20">
        <v>4</v>
      </c>
      <c r="I20">
        <v>180</v>
      </c>
      <c r="J20">
        <v>0</v>
      </c>
      <c r="K20" s="2" t="s">
        <v>32</v>
      </c>
      <c r="L20" s="2" t="s">
        <v>71</v>
      </c>
      <c r="M20">
        <v>720</v>
      </c>
      <c r="N20">
        <v>0</v>
      </c>
      <c r="O20">
        <v>720</v>
      </c>
    </row>
    <row r="21" spans="1:15">
      <c r="A21">
        <v>10020</v>
      </c>
      <c r="B21" s="1">
        <v>45779</v>
      </c>
      <c r="C21" s="2" t="s">
        <v>34</v>
      </c>
      <c r="D21" s="2" t="s">
        <v>49</v>
      </c>
      <c r="E21" s="2" t="s">
        <v>24</v>
      </c>
      <c r="F21" s="2" t="s">
        <v>57</v>
      </c>
      <c r="G21" s="2" t="s">
        <v>19</v>
      </c>
      <c r="H21">
        <v>3</v>
      </c>
      <c r="I21">
        <v>2500</v>
      </c>
      <c r="J21">
        <v>0.05</v>
      </c>
      <c r="K21" s="2" t="s">
        <v>37</v>
      </c>
      <c r="L21" s="2" t="s">
        <v>72</v>
      </c>
      <c r="M21">
        <v>7500</v>
      </c>
      <c r="N21">
        <v>375</v>
      </c>
      <c r="O21">
        <v>7125</v>
      </c>
    </row>
    <row r="22" spans="1:15">
      <c r="A22">
        <v>10021</v>
      </c>
      <c r="B22" s="1">
        <v>45808</v>
      </c>
      <c r="C22" s="2" t="s">
        <v>15</v>
      </c>
      <c r="D22" s="2" t="s">
        <v>53</v>
      </c>
      <c r="E22" s="2" t="s">
        <v>30</v>
      </c>
      <c r="F22" s="2" t="s">
        <v>18</v>
      </c>
      <c r="G22" s="2" t="s">
        <v>19</v>
      </c>
      <c r="H22">
        <v>7</v>
      </c>
      <c r="I22">
        <v>61750</v>
      </c>
      <c r="J22">
        <v>0.1</v>
      </c>
      <c r="K22" s="2" t="s">
        <v>20</v>
      </c>
      <c r="L22" s="2" t="s">
        <v>73</v>
      </c>
      <c r="M22">
        <v>432250</v>
      </c>
      <c r="N22">
        <v>43225</v>
      </c>
      <c r="O22">
        <v>389025</v>
      </c>
    </row>
    <row r="23" spans="1:15">
      <c r="A23">
        <v>10022</v>
      </c>
      <c r="B23" s="1">
        <v>45714</v>
      </c>
      <c r="C23" s="2" t="s">
        <v>22</v>
      </c>
      <c r="D23" s="2" t="s">
        <v>56</v>
      </c>
      <c r="E23" s="2" t="s">
        <v>17</v>
      </c>
      <c r="F23" s="2" t="s">
        <v>25</v>
      </c>
      <c r="G23" s="2" t="s">
        <v>19</v>
      </c>
      <c r="H23">
        <v>5</v>
      </c>
      <c r="I23">
        <v>11400</v>
      </c>
      <c r="J23">
        <v>0.15</v>
      </c>
      <c r="K23" s="2" t="s">
        <v>26</v>
      </c>
      <c r="L23" s="2" t="s">
        <v>74</v>
      </c>
      <c r="M23">
        <v>57000</v>
      </c>
      <c r="N23">
        <v>8550</v>
      </c>
      <c r="O23">
        <v>48450</v>
      </c>
    </row>
    <row r="24" spans="1:15">
      <c r="A24">
        <v>10023</v>
      </c>
      <c r="B24" s="1">
        <v>45803</v>
      </c>
      <c r="C24" s="2" t="s">
        <v>28</v>
      </c>
      <c r="D24" s="2" t="s">
        <v>59</v>
      </c>
      <c r="E24" s="2" t="s">
        <v>24</v>
      </c>
      <c r="F24" s="2" t="s">
        <v>31</v>
      </c>
      <c r="G24" s="2" t="s">
        <v>19</v>
      </c>
      <c r="H24">
        <v>6</v>
      </c>
      <c r="I24">
        <v>1800</v>
      </c>
      <c r="J24">
        <v>0.2</v>
      </c>
      <c r="K24" s="2" t="s">
        <v>32</v>
      </c>
      <c r="L24" s="2" t="s">
        <v>75</v>
      </c>
      <c r="M24">
        <v>10800</v>
      </c>
      <c r="N24">
        <v>2160</v>
      </c>
      <c r="O24">
        <v>8640</v>
      </c>
    </row>
    <row r="25" spans="1:15">
      <c r="A25">
        <v>10024</v>
      </c>
      <c r="B25" s="1">
        <v>45710</v>
      </c>
      <c r="C25" s="2" t="s">
        <v>34</v>
      </c>
      <c r="D25" s="2" t="s">
        <v>61</v>
      </c>
      <c r="E25" s="2" t="s">
        <v>30</v>
      </c>
      <c r="F25" s="2" t="s">
        <v>36</v>
      </c>
      <c r="G25" s="2" t="s">
        <v>19</v>
      </c>
      <c r="H25">
        <v>6</v>
      </c>
      <c r="I25">
        <v>840</v>
      </c>
      <c r="J25">
        <v>0.05</v>
      </c>
      <c r="K25" s="2" t="s">
        <v>37</v>
      </c>
      <c r="L25" s="2" t="s">
        <v>76</v>
      </c>
      <c r="M25">
        <v>5040</v>
      </c>
      <c r="N25">
        <v>252</v>
      </c>
      <c r="O25">
        <v>4788</v>
      </c>
    </row>
    <row r="26" spans="1:15">
      <c r="A26">
        <v>10025</v>
      </c>
      <c r="B26" s="1">
        <v>45683</v>
      </c>
      <c r="C26" s="2" t="s">
        <v>15</v>
      </c>
      <c r="D26" s="2" t="s">
        <v>16</v>
      </c>
      <c r="E26" s="2" t="s">
        <v>17</v>
      </c>
      <c r="F26" s="2" t="s">
        <v>40</v>
      </c>
      <c r="G26" s="2" t="s">
        <v>41</v>
      </c>
      <c r="H26">
        <v>2</v>
      </c>
      <c r="I26">
        <v>8500</v>
      </c>
      <c r="J26">
        <v>0.15</v>
      </c>
      <c r="K26" s="2" t="s">
        <v>20</v>
      </c>
      <c r="L26" s="2" t="s">
        <v>77</v>
      </c>
      <c r="M26">
        <v>17000</v>
      </c>
      <c r="N26">
        <v>2550</v>
      </c>
      <c r="O26">
        <v>14450</v>
      </c>
    </row>
    <row r="27" spans="1:15">
      <c r="A27">
        <v>10026</v>
      </c>
      <c r="B27" s="1">
        <v>45659</v>
      </c>
      <c r="C27" s="2" t="s">
        <v>22</v>
      </c>
      <c r="D27" s="2" t="s">
        <v>23</v>
      </c>
      <c r="E27" s="2" t="s">
        <v>24</v>
      </c>
      <c r="F27" s="2" t="s">
        <v>44</v>
      </c>
      <c r="G27" s="2" t="s">
        <v>41</v>
      </c>
      <c r="H27">
        <v>6</v>
      </c>
      <c r="I27">
        <v>14700</v>
      </c>
      <c r="J27">
        <v>0</v>
      </c>
      <c r="K27" s="2" t="s">
        <v>26</v>
      </c>
      <c r="L27" s="2" t="s">
        <v>78</v>
      </c>
      <c r="M27">
        <v>88200</v>
      </c>
      <c r="N27">
        <v>0</v>
      </c>
      <c r="O27">
        <v>88200</v>
      </c>
    </row>
    <row r="28" spans="1:15">
      <c r="A28">
        <v>10027</v>
      </c>
      <c r="B28" s="1">
        <v>45778</v>
      </c>
      <c r="C28" s="2" t="s">
        <v>28</v>
      </c>
      <c r="D28" s="2" t="s">
        <v>29</v>
      </c>
      <c r="E28" s="2" t="s">
        <v>30</v>
      </c>
      <c r="F28" s="2" t="s">
        <v>47</v>
      </c>
      <c r="G28" s="2" t="s">
        <v>19</v>
      </c>
      <c r="H28">
        <v>6</v>
      </c>
      <c r="I28">
        <v>11550</v>
      </c>
      <c r="J28">
        <v>0.15</v>
      </c>
      <c r="K28" s="2" t="s">
        <v>32</v>
      </c>
      <c r="L28" s="2" t="s">
        <v>79</v>
      </c>
      <c r="M28">
        <v>69300</v>
      </c>
      <c r="N28">
        <v>10395</v>
      </c>
      <c r="O28">
        <v>58905</v>
      </c>
    </row>
    <row r="29" spans="1:15">
      <c r="A29">
        <v>10028</v>
      </c>
      <c r="B29" s="1">
        <v>45799</v>
      </c>
      <c r="C29" s="2" t="s">
        <v>34</v>
      </c>
      <c r="D29" s="2" t="s">
        <v>35</v>
      </c>
      <c r="E29" s="2" t="s">
        <v>17</v>
      </c>
      <c r="F29" s="2" t="s">
        <v>50</v>
      </c>
      <c r="G29" s="2" t="s">
        <v>51</v>
      </c>
      <c r="H29">
        <v>4</v>
      </c>
      <c r="I29">
        <v>120</v>
      </c>
      <c r="J29">
        <v>0.15</v>
      </c>
      <c r="K29" s="2" t="s">
        <v>37</v>
      </c>
      <c r="L29" s="2" t="s">
        <v>80</v>
      </c>
      <c r="M29">
        <v>480</v>
      </c>
      <c r="N29">
        <v>72</v>
      </c>
      <c r="O29">
        <v>408</v>
      </c>
    </row>
    <row r="30" spans="1:15">
      <c r="A30">
        <v>10029</v>
      </c>
      <c r="B30" s="1">
        <v>45760</v>
      </c>
      <c r="C30" s="2" t="s">
        <v>15</v>
      </c>
      <c r="D30" s="2" t="s">
        <v>39</v>
      </c>
      <c r="E30" s="2" t="s">
        <v>24</v>
      </c>
      <c r="F30" s="2" t="s">
        <v>54</v>
      </c>
      <c r="G30" s="2" t="s">
        <v>51</v>
      </c>
      <c r="H30">
        <v>4</v>
      </c>
      <c r="I30">
        <v>180</v>
      </c>
      <c r="J30">
        <v>0.1</v>
      </c>
      <c r="K30" s="2" t="s">
        <v>20</v>
      </c>
      <c r="L30" s="2" t="s">
        <v>81</v>
      </c>
      <c r="M30">
        <v>720</v>
      </c>
      <c r="N30">
        <v>72</v>
      </c>
      <c r="O30">
        <v>648</v>
      </c>
    </row>
    <row r="31" spans="1:15">
      <c r="A31">
        <v>10030</v>
      </c>
      <c r="B31" s="1">
        <v>45678</v>
      </c>
      <c r="C31" s="2" t="s">
        <v>22</v>
      </c>
      <c r="D31" s="2" t="s">
        <v>68</v>
      </c>
      <c r="E31" s="2" t="s">
        <v>30</v>
      </c>
      <c r="F31" s="2" t="s">
        <v>57</v>
      </c>
      <c r="G31" s="2" t="s">
        <v>19</v>
      </c>
      <c r="H31">
        <v>1</v>
      </c>
      <c r="I31">
        <v>2375</v>
      </c>
      <c r="J31">
        <v>0</v>
      </c>
      <c r="K31" s="2" t="s">
        <v>26</v>
      </c>
      <c r="L31" s="2" t="s">
        <v>82</v>
      </c>
      <c r="M31">
        <v>2375</v>
      </c>
      <c r="N31">
        <v>0</v>
      </c>
      <c r="O31">
        <v>2375</v>
      </c>
    </row>
    <row r="32" spans="1:15">
      <c r="A32">
        <v>10031</v>
      </c>
      <c r="B32" s="1">
        <v>45743</v>
      </c>
      <c r="C32" s="2" t="s">
        <v>28</v>
      </c>
      <c r="D32" s="2" t="s">
        <v>46</v>
      </c>
      <c r="E32" s="2" t="s">
        <v>17</v>
      </c>
      <c r="F32" s="2" t="s">
        <v>18</v>
      </c>
      <c r="G32" s="2" t="s">
        <v>19</v>
      </c>
      <c r="H32">
        <v>4</v>
      </c>
      <c r="I32">
        <v>65000</v>
      </c>
      <c r="J32">
        <v>0.15</v>
      </c>
      <c r="K32" s="2" t="s">
        <v>32</v>
      </c>
      <c r="L32" s="2" t="s">
        <v>83</v>
      </c>
      <c r="M32">
        <v>260000</v>
      </c>
      <c r="N32">
        <v>39000</v>
      </c>
      <c r="O32">
        <v>221000</v>
      </c>
    </row>
    <row r="33" spans="1:15">
      <c r="A33">
        <v>10032</v>
      </c>
      <c r="B33" s="1">
        <v>45796</v>
      </c>
      <c r="C33" s="2" t="s">
        <v>34</v>
      </c>
      <c r="D33" s="2" t="s">
        <v>49</v>
      </c>
      <c r="E33" s="2" t="s">
        <v>24</v>
      </c>
      <c r="F33" s="2" t="s">
        <v>25</v>
      </c>
      <c r="G33" s="2" t="s">
        <v>19</v>
      </c>
      <c r="H33">
        <v>-2</v>
      </c>
      <c r="I33">
        <v>11400</v>
      </c>
      <c r="J33">
        <v>0.1</v>
      </c>
      <c r="K33" s="2" t="s">
        <v>37</v>
      </c>
      <c r="L33" s="2" t="s">
        <v>84</v>
      </c>
      <c r="M33">
        <v>68400</v>
      </c>
      <c r="N33">
        <v>6840</v>
      </c>
      <c r="O33">
        <v>61560</v>
      </c>
    </row>
    <row r="34" spans="1:15">
      <c r="A34">
        <v>10033</v>
      </c>
      <c r="B34" s="1">
        <v>45758</v>
      </c>
      <c r="C34" s="2" t="s">
        <v>15</v>
      </c>
      <c r="D34" s="2" t="s">
        <v>53</v>
      </c>
      <c r="E34" s="2" t="s">
        <v>30</v>
      </c>
      <c r="F34" s="2" t="s">
        <v>31</v>
      </c>
      <c r="G34" s="2" t="s">
        <v>19</v>
      </c>
      <c r="H34">
        <v>5</v>
      </c>
      <c r="I34">
        <v>1800</v>
      </c>
      <c r="J34">
        <v>0.15</v>
      </c>
      <c r="K34" s="2" t="s">
        <v>20</v>
      </c>
      <c r="L34" s="2" t="s">
        <v>85</v>
      </c>
      <c r="M34">
        <v>9000</v>
      </c>
      <c r="N34">
        <v>1350</v>
      </c>
      <c r="O34">
        <v>7650</v>
      </c>
    </row>
    <row r="35" spans="1:15">
      <c r="A35">
        <v>10034</v>
      </c>
      <c r="B35" s="1">
        <v>45713</v>
      </c>
      <c r="C35" s="2" t="s">
        <v>22</v>
      </c>
      <c r="D35" s="2" t="s">
        <v>56</v>
      </c>
      <c r="E35" s="2" t="s">
        <v>17</v>
      </c>
      <c r="F35" s="2" t="s">
        <v>36</v>
      </c>
      <c r="G35" s="2" t="s">
        <v>19</v>
      </c>
      <c r="H35">
        <v>1</v>
      </c>
      <c r="I35">
        <v>840</v>
      </c>
      <c r="J35">
        <v>0.1</v>
      </c>
      <c r="K35" s="2" t="s">
        <v>26</v>
      </c>
      <c r="L35" s="2" t="s">
        <v>86</v>
      </c>
      <c r="M35">
        <v>840</v>
      </c>
      <c r="N35">
        <v>84</v>
      </c>
      <c r="O35">
        <v>756</v>
      </c>
    </row>
    <row r="36" spans="1:15">
      <c r="A36">
        <v>10035</v>
      </c>
      <c r="B36" s="1">
        <v>45737</v>
      </c>
      <c r="C36" s="2" t="s">
        <v>28</v>
      </c>
      <c r="D36" s="2" t="s">
        <v>59</v>
      </c>
      <c r="E36" s="2" t="s">
        <v>24</v>
      </c>
      <c r="F36" s="2" t="s">
        <v>40</v>
      </c>
      <c r="G36" s="2" t="s">
        <v>41</v>
      </c>
      <c r="H36">
        <v>5</v>
      </c>
      <c r="I36">
        <v>8500</v>
      </c>
      <c r="J36">
        <v>0</v>
      </c>
      <c r="K36" s="2" t="s">
        <v>32</v>
      </c>
      <c r="L36" s="2" t="s">
        <v>87</v>
      </c>
      <c r="M36">
        <v>42500</v>
      </c>
      <c r="N36">
        <v>0</v>
      </c>
      <c r="O36">
        <v>42500</v>
      </c>
    </row>
    <row r="37" spans="1:15">
      <c r="A37">
        <v>10036</v>
      </c>
      <c r="B37" s="1">
        <v>45731</v>
      </c>
      <c r="C37" s="2" t="s">
        <v>34</v>
      </c>
      <c r="D37" s="2" t="s">
        <v>61</v>
      </c>
      <c r="E37" s="2" t="s">
        <v>30</v>
      </c>
      <c r="F37" s="2" t="s">
        <v>44</v>
      </c>
      <c r="G37" s="2" t="s">
        <v>41</v>
      </c>
      <c r="H37">
        <v>7</v>
      </c>
      <c r="I37">
        <v>14000</v>
      </c>
      <c r="J37">
        <v>0.05</v>
      </c>
      <c r="K37" s="2" t="s">
        <v>37</v>
      </c>
      <c r="L37" s="2" t="s">
        <v>88</v>
      </c>
      <c r="M37">
        <v>98000</v>
      </c>
      <c r="N37">
        <v>4900</v>
      </c>
      <c r="O37">
        <v>93100</v>
      </c>
    </row>
    <row r="38" spans="1:15">
      <c r="A38">
        <v>10037</v>
      </c>
      <c r="B38" s="1">
        <v>45700</v>
      </c>
      <c r="C38" s="2" t="s">
        <v>15</v>
      </c>
      <c r="D38" s="2" t="s">
        <v>16</v>
      </c>
      <c r="E38" s="2" t="s">
        <v>17</v>
      </c>
      <c r="F38" s="2" t="s">
        <v>47</v>
      </c>
      <c r="G38" s="2" t="s">
        <v>19</v>
      </c>
      <c r="H38">
        <v>7</v>
      </c>
      <c r="I38">
        <v>10450</v>
      </c>
      <c r="J38">
        <v>0.2</v>
      </c>
      <c r="K38" s="2" t="s">
        <v>20</v>
      </c>
      <c r="L38" s="2" t="s">
        <v>89</v>
      </c>
      <c r="M38">
        <v>73150</v>
      </c>
      <c r="N38">
        <v>14630</v>
      </c>
      <c r="O38">
        <v>58520</v>
      </c>
    </row>
    <row r="39" spans="1:15">
      <c r="A39">
        <v>10038</v>
      </c>
      <c r="B39" s="1">
        <v>45708</v>
      </c>
      <c r="C39" s="2" t="s">
        <v>22</v>
      </c>
      <c r="D39" s="2" t="s">
        <v>23</v>
      </c>
      <c r="E39" s="2" t="s">
        <v>24</v>
      </c>
      <c r="F39" s="2" t="s">
        <v>50</v>
      </c>
      <c r="G39" s="2" t="s">
        <v>51</v>
      </c>
      <c r="H39">
        <v>6</v>
      </c>
      <c r="I39">
        <v>126</v>
      </c>
      <c r="J39">
        <v>0</v>
      </c>
      <c r="K39" s="2" t="s">
        <v>26</v>
      </c>
      <c r="L39" s="2" t="s">
        <v>90</v>
      </c>
      <c r="M39">
        <v>756</v>
      </c>
      <c r="N39">
        <v>0</v>
      </c>
      <c r="O39">
        <v>756</v>
      </c>
    </row>
    <row r="40" spans="1:15">
      <c r="A40">
        <v>10039</v>
      </c>
      <c r="B40" s="1">
        <v>45777</v>
      </c>
      <c r="C40" s="2" t="s">
        <v>28</v>
      </c>
      <c r="D40" s="2" t="s">
        <v>29</v>
      </c>
      <c r="E40" s="2" t="s">
        <v>30</v>
      </c>
      <c r="F40" s="2" t="s">
        <v>54</v>
      </c>
      <c r="G40" s="2" t="s">
        <v>51</v>
      </c>
      <c r="H40">
        <v>7</v>
      </c>
      <c r="I40">
        <v>180</v>
      </c>
      <c r="J40">
        <v>0.05</v>
      </c>
      <c r="K40" s="2" t="s">
        <v>32</v>
      </c>
      <c r="L40" s="2" t="s">
        <v>91</v>
      </c>
      <c r="M40">
        <v>1260</v>
      </c>
      <c r="N40">
        <v>63</v>
      </c>
      <c r="O40">
        <v>1197</v>
      </c>
    </row>
    <row r="41" spans="1:15">
      <c r="A41">
        <v>10040</v>
      </c>
      <c r="B41" s="1">
        <v>45799</v>
      </c>
      <c r="C41" s="2" t="s">
        <v>34</v>
      </c>
      <c r="D41" s="2" t="s">
        <v>35</v>
      </c>
      <c r="E41" s="2" t="s">
        <v>17</v>
      </c>
      <c r="F41" s="2" t="s">
        <v>57</v>
      </c>
      <c r="G41" s="2" t="s">
        <v>19</v>
      </c>
      <c r="H41">
        <v>1</v>
      </c>
      <c r="I41">
        <v>2500</v>
      </c>
      <c r="J41">
        <v>0.1</v>
      </c>
      <c r="K41" s="2" t="s">
        <v>37</v>
      </c>
      <c r="L41" s="2" t="s">
        <v>92</v>
      </c>
      <c r="M41">
        <v>2500</v>
      </c>
      <c r="N41">
        <v>250</v>
      </c>
      <c r="O41">
        <v>2250</v>
      </c>
    </row>
    <row r="42" spans="1:15">
      <c r="A42">
        <v>10041</v>
      </c>
      <c r="B42" s="1">
        <v>45731</v>
      </c>
      <c r="C42" s="2" t="s">
        <v>15</v>
      </c>
      <c r="D42" s="2" t="s">
        <v>39</v>
      </c>
      <c r="E42" s="2" t="s">
        <v>24</v>
      </c>
      <c r="F42" s="2" t="s">
        <v>18</v>
      </c>
      <c r="G42" s="2" t="s">
        <v>19</v>
      </c>
      <c r="H42">
        <v>7</v>
      </c>
      <c r="I42">
        <v>65000</v>
      </c>
      <c r="J42">
        <v>0.15</v>
      </c>
      <c r="K42" s="2" t="s">
        <v>20</v>
      </c>
      <c r="L42" s="2" t="s">
        <v>93</v>
      </c>
      <c r="M42">
        <v>455000</v>
      </c>
      <c r="N42">
        <v>68250</v>
      </c>
      <c r="O42">
        <v>386750</v>
      </c>
    </row>
    <row r="43" spans="1:15">
      <c r="A43">
        <v>10042</v>
      </c>
      <c r="B43" s="1">
        <v>45688</v>
      </c>
      <c r="C43" s="2" t="s">
        <v>22</v>
      </c>
      <c r="D43" s="2" t="s">
        <v>68</v>
      </c>
      <c r="E43" s="2" t="s">
        <v>30</v>
      </c>
      <c r="F43" s="2" t="s">
        <v>25</v>
      </c>
      <c r="G43" s="2" t="s">
        <v>19</v>
      </c>
      <c r="H43">
        <v>3</v>
      </c>
      <c r="I43">
        <v>12000</v>
      </c>
      <c r="J43">
        <v>0.2</v>
      </c>
      <c r="K43" s="2" t="s">
        <v>26</v>
      </c>
      <c r="L43" s="2" t="s">
        <v>94</v>
      </c>
      <c r="M43">
        <v>36000</v>
      </c>
      <c r="N43">
        <v>7200</v>
      </c>
      <c r="O43">
        <v>28800</v>
      </c>
    </row>
    <row r="44" spans="1:15">
      <c r="A44">
        <v>10043</v>
      </c>
      <c r="B44" s="1">
        <v>45674</v>
      </c>
      <c r="C44" s="2" t="s">
        <v>28</v>
      </c>
      <c r="D44" s="2" t="s">
        <v>46</v>
      </c>
      <c r="E44" s="2" t="s">
        <v>17</v>
      </c>
      <c r="F44" s="2" t="s">
        <v>31</v>
      </c>
      <c r="G44" s="2" t="s">
        <v>19</v>
      </c>
      <c r="H44">
        <v>3</v>
      </c>
      <c r="I44">
        <v>1710</v>
      </c>
      <c r="J44">
        <v>0</v>
      </c>
      <c r="K44" s="2" t="s">
        <v>32</v>
      </c>
      <c r="L44" s="2" t="s">
        <v>95</v>
      </c>
      <c r="M44">
        <v>5130</v>
      </c>
      <c r="N44">
        <v>0</v>
      </c>
      <c r="O44">
        <v>5130</v>
      </c>
    </row>
    <row r="45" spans="1:15">
      <c r="A45">
        <v>10044</v>
      </c>
      <c r="B45" s="1">
        <v>45741</v>
      </c>
      <c r="C45" s="2" t="s">
        <v>34</v>
      </c>
      <c r="D45" s="2" t="s">
        <v>49</v>
      </c>
      <c r="E45" s="2" t="s">
        <v>24</v>
      </c>
      <c r="F45" s="2" t="s">
        <v>36</v>
      </c>
      <c r="G45" s="2" t="s">
        <v>19</v>
      </c>
      <c r="H45">
        <v>6</v>
      </c>
      <c r="I45">
        <v>800</v>
      </c>
      <c r="J45">
        <v>0.15</v>
      </c>
      <c r="K45" s="2" t="s">
        <v>37</v>
      </c>
      <c r="L45" s="2" t="s">
        <v>96</v>
      </c>
      <c r="M45">
        <v>4800</v>
      </c>
      <c r="N45">
        <v>720</v>
      </c>
      <c r="O45">
        <v>4080</v>
      </c>
    </row>
    <row r="46" spans="1:15">
      <c r="A46">
        <v>10045</v>
      </c>
      <c r="B46" s="1">
        <v>45748</v>
      </c>
      <c r="C46" s="2" t="s">
        <v>15</v>
      </c>
      <c r="D46" s="2" t="s">
        <v>53</v>
      </c>
      <c r="E46" s="2" t="s">
        <v>30</v>
      </c>
      <c r="F46" s="2" t="s">
        <v>40</v>
      </c>
      <c r="G46" s="2" t="s">
        <v>41</v>
      </c>
      <c r="H46">
        <v>6</v>
      </c>
      <c r="J46">
        <v>0</v>
      </c>
      <c r="K46" s="2" t="s">
        <v>20</v>
      </c>
      <c r="L46" s="2" t="s">
        <v>97</v>
      </c>
      <c r="M46">
        <v>53550</v>
      </c>
      <c r="N46">
        <v>0</v>
      </c>
      <c r="O46">
        <v>53550</v>
      </c>
    </row>
    <row r="47" spans="1:15">
      <c r="A47">
        <v>10046</v>
      </c>
      <c r="B47" s="1">
        <v>45784</v>
      </c>
      <c r="C47" s="2" t="s">
        <v>22</v>
      </c>
      <c r="D47" s="2" t="s">
        <v>56</v>
      </c>
      <c r="E47" s="2" t="s">
        <v>17</v>
      </c>
      <c r="F47" s="2" t="s">
        <v>44</v>
      </c>
      <c r="G47" s="2" t="s">
        <v>41</v>
      </c>
      <c r="H47">
        <v>7</v>
      </c>
      <c r="I47">
        <v>14000</v>
      </c>
      <c r="J47">
        <v>0</v>
      </c>
      <c r="K47" s="2" t="s">
        <v>26</v>
      </c>
      <c r="L47" s="2" t="s">
        <v>98</v>
      </c>
      <c r="M47">
        <v>98000</v>
      </c>
      <c r="N47">
        <v>0</v>
      </c>
      <c r="O47">
        <v>98000</v>
      </c>
    </row>
    <row r="48" spans="1:15">
      <c r="A48">
        <v>10047</v>
      </c>
      <c r="B48" s="1">
        <v>45726</v>
      </c>
      <c r="C48" s="2" t="s">
        <v>28</v>
      </c>
      <c r="D48" s="2" t="s">
        <v>59</v>
      </c>
      <c r="E48" s="2" t="s">
        <v>24</v>
      </c>
      <c r="F48" s="2" t="s">
        <v>47</v>
      </c>
      <c r="G48" s="2" t="s">
        <v>19</v>
      </c>
      <c r="H48">
        <v>4</v>
      </c>
      <c r="I48">
        <v>10450</v>
      </c>
      <c r="J48">
        <v>0.1</v>
      </c>
      <c r="K48" s="2" t="s">
        <v>32</v>
      </c>
      <c r="L48" s="2" t="s">
        <v>99</v>
      </c>
      <c r="M48">
        <v>41800</v>
      </c>
      <c r="N48">
        <v>4180</v>
      </c>
      <c r="O48">
        <v>37620</v>
      </c>
    </row>
    <row r="49" spans="1:15">
      <c r="A49">
        <v>10048</v>
      </c>
      <c r="B49" s="1">
        <v>45772</v>
      </c>
      <c r="C49" s="2" t="s">
        <v>34</v>
      </c>
      <c r="D49" s="2" t="s">
        <v>61</v>
      </c>
      <c r="E49" s="2" t="s">
        <v>30</v>
      </c>
      <c r="F49" s="2" t="s">
        <v>50</v>
      </c>
      <c r="G49" s="2" t="s">
        <v>51</v>
      </c>
      <c r="H49">
        <v>2</v>
      </c>
      <c r="I49">
        <v>120</v>
      </c>
      <c r="J49">
        <v>0.05</v>
      </c>
      <c r="K49" s="2" t="s">
        <v>37</v>
      </c>
      <c r="L49" s="2" t="s">
        <v>100</v>
      </c>
      <c r="M49">
        <v>240</v>
      </c>
      <c r="N49">
        <v>12</v>
      </c>
      <c r="O49">
        <v>228</v>
      </c>
    </row>
    <row r="50" spans="1:15">
      <c r="A50">
        <v>10049</v>
      </c>
      <c r="B50" s="1">
        <v>45673</v>
      </c>
      <c r="C50" s="2" t="s">
        <v>15</v>
      </c>
      <c r="D50" s="2" t="s">
        <v>16</v>
      </c>
      <c r="E50" s="2" t="s">
        <v>17</v>
      </c>
      <c r="F50" s="2" t="s">
        <v>54</v>
      </c>
      <c r="G50" s="2" t="s">
        <v>51</v>
      </c>
      <c r="H50">
        <v>5</v>
      </c>
      <c r="I50">
        <v>189</v>
      </c>
      <c r="J50">
        <v>0.05</v>
      </c>
      <c r="K50" s="2" t="s">
        <v>20</v>
      </c>
      <c r="L50" s="2" t="s">
        <v>101</v>
      </c>
      <c r="M50">
        <v>945</v>
      </c>
      <c r="N50">
        <v>47.25</v>
      </c>
      <c r="O50">
        <v>897.75</v>
      </c>
    </row>
    <row r="51" spans="1:15">
      <c r="A51">
        <v>10050</v>
      </c>
      <c r="B51" s="1">
        <v>45832</v>
      </c>
      <c r="C51" s="2" t="s">
        <v>22</v>
      </c>
      <c r="D51" s="2" t="s">
        <v>23</v>
      </c>
      <c r="E51" s="2" t="s">
        <v>24</v>
      </c>
      <c r="F51" s="2" t="s">
        <v>57</v>
      </c>
      <c r="G51" s="2" t="s">
        <v>19</v>
      </c>
      <c r="H51">
        <v>3</v>
      </c>
      <c r="I51">
        <v>2500</v>
      </c>
      <c r="J51">
        <v>0</v>
      </c>
      <c r="K51" s="2" t="s">
        <v>26</v>
      </c>
      <c r="L51" s="2" t="s">
        <v>102</v>
      </c>
      <c r="M51">
        <v>7500</v>
      </c>
      <c r="N51">
        <v>0</v>
      </c>
      <c r="O51">
        <v>7500</v>
      </c>
    </row>
    <row r="52" spans="1:15">
      <c r="A52">
        <v>10051</v>
      </c>
      <c r="B52" s="1">
        <v>45784</v>
      </c>
      <c r="C52" s="2" t="s">
        <v>28</v>
      </c>
      <c r="D52" s="2" t="s">
        <v>29</v>
      </c>
      <c r="E52" s="2" t="s">
        <v>30</v>
      </c>
      <c r="F52" s="2" t="s">
        <v>18</v>
      </c>
      <c r="G52" s="2" t="s">
        <v>19</v>
      </c>
      <c r="H52">
        <v>3</v>
      </c>
      <c r="I52">
        <v>65000</v>
      </c>
      <c r="J52">
        <v>0.2</v>
      </c>
      <c r="K52" s="2" t="s">
        <v>32</v>
      </c>
      <c r="L52" s="2" t="s">
        <v>103</v>
      </c>
      <c r="M52">
        <v>195000</v>
      </c>
      <c r="N52">
        <v>39000</v>
      </c>
      <c r="O52">
        <v>156000</v>
      </c>
    </row>
    <row r="53" spans="1:15">
      <c r="A53">
        <v>10052</v>
      </c>
      <c r="B53" s="1">
        <v>45833</v>
      </c>
      <c r="C53" s="2" t="s">
        <v>34</v>
      </c>
      <c r="D53" s="2" t="s">
        <v>35</v>
      </c>
      <c r="E53" s="2" t="s">
        <v>17</v>
      </c>
      <c r="F53" s="2" t="s">
        <v>25</v>
      </c>
      <c r="G53" s="2" t="s">
        <v>19</v>
      </c>
      <c r="H53">
        <v>4</v>
      </c>
      <c r="I53">
        <v>12600</v>
      </c>
      <c r="J53">
        <v>0.05</v>
      </c>
      <c r="K53" s="2" t="s">
        <v>37</v>
      </c>
      <c r="L53" s="2" t="s">
        <v>104</v>
      </c>
      <c r="M53">
        <v>50400</v>
      </c>
      <c r="N53">
        <v>2520</v>
      </c>
      <c r="O53">
        <v>47880</v>
      </c>
    </row>
    <row r="54" spans="1:15">
      <c r="A54">
        <v>10053</v>
      </c>
      <c r="B54" s="1">
        <v>45787</v>
      </c>
      <c r="C54" s="2" t="s">
        <v>15</v>
      </c>
      <c r="D54" s="2" t="s">
        <v>39</v>
      </c>
      <c r="E54" s="2" t="s">
        <v>24</v>
      </c>
      <c r="F54" s="2" t="s">
        <v>31</v>
      </c>
      <c r="G54" s="2" t="s">
        <v>19</v>
      </c>
      <c r="H54">
        <v>2</v>
      </c>
      <c r="I54">
        <v>1800</v>
      </c>
      <c r="J54">
        <v>0.15</v>
      </c>
      <c r="K54" s="2" t="s">
        <v>20</v>
      </c>
      <c r="L54" s="2" t="s">
        <v>105</v>
      </c>
      <c r="M54">
        <v>3600</v>
      </c>
      <c r="N54">
        <v>540</v>
      </c>
      <c r="O54">
        <v>3060</v>
      </c>
    </row>
    <row r="55" spans="1:15">
      <c r="A55">
        <v>10054</v>
      </c>
      <c r="B55" s="1">
        <v>45707</v>
      </c>
      <c r="C55" s="2" t="s">
        <v>22</v>
      </c>
      <c r="D55" s="2" t="s">
        <v>68</v>
      </c>
      <c r="E55" s="2" t="s">
        <v>30</v>
      </c>
      <c r="F55" s="2" t="s">
        <v>36</v>
      </c>
      <c r="G55" s="2" t="s">
        <v>19</v>
      </c>
      <c r="H55">
        <v>6</v>
      </c>
      <c r="I55">
        <v>800</v>
      </c>
      <c r="J55">
        <v>0.1</v>
      </c>
      <c r="K55" s="2" t="s">
        <v>26</v>
      </c>
      <c r="L55" s="2" t="s">
        <v>106</v>
      </c>
      <c r="M55">
        <v>4800</v>
      </c>
      <c r="N55">
        <v>480</v>
      </c>
      <c r="O55">
        <v>4320</v>
      </c>
    </row>
    <row r="56" spans="1:15">
      <c r="A56">
        <v>10055</v>
      </c>
      <c r="B56" s="1">
        <v>45821</v>
      </c>
      <c r="C56" s="2" t="s">
        <v>28</v>
      </c>
      <c r="D56" s="2" t="s">
        <v>46</v>
      </c>
      <c r="E56" s="2" t="s">
        <v>17</v>
      </c>
      <c r="F56" s="2" t="s">
        <v>40</v>
      </c>
      <c r="G56" s="2" t="s">
        <v>41</v>
      </c>
      <c r="H56">
        <v>1</v>
      </c>
      <c r="I56">
        <v>8500</v>
      </c>
      <c r="J56">
        <v>0</v>
      </c>
      <c r="K56" s="2" t="s">
        <v>32</v>
      </c>
      <c r="L56" s="2" t="s">
        <v>107</v>
      </c>
      <c r="M56">
        <v>8500</v>
      </c>
      <c r="N56">
        <v>0</v>
      </c>
      <c r="O56">
        <v>8500</v>
      </c>
    </row>
    <row r="57" spans="1:15">
      <c r="A57">
        <v>10056</v>
      </c>
      <c r="B57" s="1">
        <v>45694</v>
      </c>
      <c r="C57" s="2" t="s">
        <v>34</v>
      </c>
      <c r="D57" s="2" t="s">
        <v>49</v>
      </c>
      <c r="E57" s="2" t="s">
        <v>24</v>
      </c>
      <c r="F57" s="2" t="s">
        <v>44</v>
      </c>
      <c r="G57" s="2" t="s">
        <v>41</v>
      </c>
      <c r="H57">
        <v>1</v>
      </c>
      <c r="I57">
        <v>14000</v>
      </c>
      <c r="J57">
        <v>0.1</v>
      </c>
      <c r="K57" s="2" t="s">
        <v>37</v>
      </c>
      <c r="L57" s="2" t="s">
        <v>21</v>
      </c>
      <c r="M57">
        <v>14000</v>
      </c>
      <c r="N57">
        <v>1400</v>
      </c>
      <c r="O57">
        <v>12600</v>
      </c>
    </row>
    <row r="58" spans="1:15">
      <c r="A58">
        <v>10057</v>
      </c>
      <c r="B58" s="1">
        <v>45762</v>
      </c>
      <c r="C58" s="2" t="s">
        <v>15</v>
      </c>
      <c r="D58" s="2" t="s">
        <v>53</v>
      </c>
      <c r="E58" s="2" t="s">
        <v>30</v>
      </c>
      <c r="F58" s="2" t="s">
        <v>47</v>
      </c>
      <c r="G58" s="2" t="s">
        <v>19</v>
      </c>
      <c r="H58">
        <v>6</v>
      </c>
      <c r="I58">
        <v>11550</v>
      </c>
      <c r="J58">
        <v>0.05</v>
      </c>
      <c r="K58" s="2" t="s">
        <v>20</v>
      </c>
      <c r="L58" s="2" t="s">
        <v>27</v>
      </c>
      <c r="M58">
        <v>69300</v>
      </c>
      <c r="N58">
        <v>3465</v>
      </c>
      <c r="O58">
        <v>65835</v>
      </c>
    </row>
    <row r="59" spans="1:15">
      <c r="A59">
        <v>10058</v>
      </c>
      <c r="B59" s="1">
        <v>45813</v>
      </c>
      <c r="C59" s="2" t="s">
        <v>22</v>
      </c>
      <c r="D59" s="2" t="s">
        <v>56</v>
      </c>
      <c r="E59" s="2" t="s">
        <v>17</v>
      </c>
      <c r="F59" s="2" t="s">
        <v>50</v>
      </c>
      <c r="G59" s="2" t="s">
        <v>51</v>
      </c>
      <c r="H59">
        <v>4</v>
      </c>
      <c r="I59">
        <v>120</v>
      </c>
      <c r="J59">
        <v>1.25</v>
      </c>
      <c r="K59" s="2" t="s">
        <v>26</v>
      </c>
      <c r="L59" s="2" t="s">
        <v>33</v>
      </c>
      <c r="M59">
        <v>480</v>
      </c>
      <c r="N59">
        <v>0</v>
      </c>
      <c r="O59">
        <v>480</v>
      </c>
    </row>
    <row r="60" spans="1:15">
      <c r="A60">
        <v>10059</v>
      </c>
      <c r="B60" s="1">
        <v>45788</v>
      </c>
      <c r="C60" s="2" t="s">
        <v>28</v>
      </c>
      <c r="D60" s="2" t="s">
        <v>59</v>
      </c>
      <c r="E60" s="2" t="s">
        <v>24</v>
      </c>
      <c r="F60" s="2" t="s">
        <v>54</v>
      </c>
      <c r="G60" s="2" t="s">
        <v>51</v>
      </c>
      <c r="H60">
        <v>1</v>
      </c>
      <c r="I60">
        <v>180</v>
      </c>
      <c r="J60">
        <v>0.15</v>
      </c>
      <c r="K60" s="2" t="s">
        <v>32</v>
      </c>
      <c r="L60" s="2" t="s">
        <v>38</v>
      </c>
      <c r="M60">
        <v>180</v>
      </c>
      <c r="N60">
        <v>27</v>
      </c>
      <c r="O60">
        <v>153</v>
      </c>
    </row>
    <row r="61" spans="1:15">
      <c r="A61">
        <v>10060</v>
      </c>
      <c r="B61" s="1">
        <v>45771</v>
      </c>
      <c r="C61" s="2" t="s">
        <v>34</v>
      </c>
      <c r="D61" s="2" t="s">
        <v>61</v>
      </c>
      <c r="E61" s="2" t="s">
        <v>30</v>
      </c>
      <c r="F61" s="2" t="s">
        <v>57</v>
      </c>
      <c r="G61" s="2" t="s">
        <v>19</v>
      </c>
      <c r="H61">
        <v>5</v>
      </c>
      <c r="I61">
        <v>2500</v>
      </c>
      <c r="J61">
        <v>0.1</v>
      </c>
      <c r="K61" s="2" t="s">
        <v>37</v>
      </c>
      <c r="L61" s="2" t="s">
        <v>42</v>
      </c>
      <c r="M61">
        <v>12500</v>
      </c>
      <c r="N61">
        <v>1250</v>
      </c>
      <c r="O61">
        <v>11250</v>
      </c>
    </row>
    <row r="62" spans="1:15">
      <c r="A62">
        <v>10061</v>
      </c>
      <c r="B62" s="1">
        <v>45775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>
        <v>1</v>
      </c>
      <c r="I62">
        <v>61750</v>
      </c>
      <c r="J62">
        <v>0.1</v>
      </c>
      <c r="K62" s="2" t="s">
        <v>20</v>
      </c>
      <c r="L62" s="2" t="s">
        <v>45</v>
      </c>
      <c r="M62">
        <v>61750</v>
      </c>
      <c r="N62">
        <v>6175</v>
      </c>
      <c r="O62">
        <v>55575</v>
      </c>
    </row>
    <row r="63" spans="1:15">
      <c r="A63">
        <v>10062</v>
      </c>
      <c r="B63" s="1">
        <v>45733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19</v>
      </c>
      <c r="H63">
        <v>5</v>
      </c>
      <c r="I63">
        <v>12600</v>
      </c>
      <c r="J63">
        <v>0</v>
      </c>
      <c r="K63" s="2" t="s">
        <v>26</v>
      </c>
      <c r="L63" s="2" t="s">
        <v>48</v>
      </c>
      <c r="M63">
        <v>63000</v>
      </c>
      <c r="N63">
        <v>0</v>
      </c>
      <c r="O63">
        <v>63000</v>
      </c>
    </row>
    <row r="64" spans="1:15">
      <c r="A64">
        <v>10063</v>
      </c>
      <c r="B64" s="1">
        <v>45747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19</v>
      </c>
      <c r="H64">
        <v>6</v>
      </c>
      <c r="I64">
        <v>1710</v>
      </c>
      <c r="J64">
        <v>0</v>
      </c>
      <c r="K64" s="2" t="s">
        <v>32</v>
      </c>
      <c r="L64" s="2" t="s">
        <v>52</v>
      </c>
      <c r="M64">
        <v>10260</v>
      </c>
      <c r="N64">
        <v>0</v>
      </c>
      <c r="O64">
        <v>10260</v>
      </c>
    </row>
    <row r="65" spans="1:15">
      <c r="A65">
        <v>10064</v>
      </c>
      <c r="B65" s="1">
        <v>45684</v>
      </c>
      <c r="C65" s="2" t="s">
        <v>34</v>
      </c>
      <c r="D65" s="2" t="s">
        <v>35</v>
      </c>
      <c r="E65" s="2" t="s">
        <v>17</v>
      </c>
      <c r="F65" s="2" t="s">
        <v>36</v>
      </c>
      <c r="G65" s="2" t="s">
        <v>19</v>
      </c>
      <c r="H65">
        <v>2</v>
      </c>
      <c r="I65">
        <v>800</v>
      </c>
      <c r="J65">
        <v>0.05</v>
      </c>
      <c r="K65" s="2" t="s">
        <v>37</v>
      </c>
      <c r="L65" s="2" t="s">
        <v>55</v>
      </c>
      <c r="M65">
        <v>1600</v>
      </c>
      <c r="N65">
        <v>80</v>
      </c>
      <c r="O65">
        <v>1520</v>
      </c>
    </row>
    <row r="66" spans="1:15">
      <c r="A66">
        <v>10065</v>
      </c>
      <c r="B66" s="1">
        <v>45764</v>
      </c>
      <c r="C66" s="2" t="s">
        <v>15</v>
      </c>
      <c r="D66" s="2" t="s">
        <v>39</v>
      </c>
      <c r="E66" s="2" t="s">
        <v>24</v>
      </c>
      <c r="F66" s="2" t="s">
        <v>40</v>
      </c>
      <c r="G66" s="2" t="s">
        <v>41</v>
      </c>
      <c r="H66">
        <v>5</v>
      </c>
      <c r="I66">
        <v>8075</v>
      </c>
      <c r="J66">
        <v>0</v>
      </c>
      <c r="K66" s="2" t="s">
        <v>20</v>
      </c>
      <c r="L66" s="2" t="s">
        <v>58</v>
      </c>
      <c r="M66">
        <v>40375</v>
      </c>
      <c r="N66">
        <v>0</v>
      </c>
      <c r="O66">
        <v>40375</v>
      </c>
    </row>
    <row r="67" spans="1:15">
      <c r="A67">
        <v>10066</v>
      </c>
      <c r="B67" s="1">
        <v>45825</v>
      </c>
      <c r="C67" s="2" t="s">
        <v>22</v>
      </c>
      <c r="D67" s="2" t="s">
        <v>68</v>
      </c>
      <c r="E67" s="2" t="s">
        <v>30</v>
      </c>
      <c r="F67" s="2" t="s">
        <v>44</v>
      </c>
      <c r="G67" s="2" t="s">
        <v>41</v>
      </c>
      <c r="H67">
        <v>6</v>
      </c>
      <c r="I67">
        <v>14000</v>
      </c>
      <c r="J67">
        <v>0</v>
      </c>
      <c r="K67" s="2" t="s">
        <v>26</v>
      </c>
      <c r="L67" s="2" t="s">
        <v>60</v>
      </c>
      <c r="M67">
        <v>84000</v>
      </c>
      <c r="N67">
        <v>0</v>
      </c>
      <c r="O67">
        <v>84000</v>
      </c>
    </row>
    <row r="68" spans="1:15">
      <c r="A68">
        <v>10067</v>
      </c>
      <c r="B68" s="1">
        <v>45720</v>
      </c>
      <c r="C68" s="2" t="s">
        <v>28</v>
      </c>
      <c r="D68" s="2" t="s">
        <v>46</v>
      </c>
      <c r="E68" s="2" t="s">
        <v>17</v>
      </c>
      <c r="F68" s="2" t="s">
        <v>47</v>
      </c>
      <c r="G68" s="2" t="s">
        <v>19</v>
      </c>
      <c r="H68">
        <v>7</v>
      </c>
      <c r="I68">
        <v>11000</v>
      </c>
      <c r="J68">
        <v>0.1</v>
      </c>
      <c r="K68" s="2" t="s">
        <v>32</v>
      </c>
      <c r="L68" s="2" t="s">
        <v>62</v>
      </c>
      <c r="M68">
        <v>77000</v>
      </c>
      <c r="N68">
        <v>7700</v>
      </c>
      <c r="O68">
        <v>69300</v>
      </c>
    </row>
    <row r="69" spans="1:15">
      <c r="A69">
        <v>10068</v>
      </c>
      <c r="B69" s="1">
        <v>45662</v>
      </c>
      <c r="C69" s="2" t="s">
        <v>34</v>
      </c>
      <c r="D69" s="2" t="s">
        <v>49</v>
      </c>
      <c r="E69" s="2" t="s">
        <v>24</v>
      </c>
      <c r="F69" s="2" t="s">
        <v>50</v>
      </c>
      <c r="G69" s="2" t="s">
        <v>51</v>
      </c>
      <c r="H69">
        <v>5</v>
      </c>
      <c r="I69">
        <v>120</v>
      </c>
      <c r="J69">
        <v>0.1</v>
      </c>
      <c r="K69" s="2" t="s">
        <v>37</v>
      </c>
      <c r="L69" s="2" t="s">
        <v>63</v>
      </c>
      <c r="M69">
        <v>600</v>
      </c>
      <c r="N69">
        <v>60</v>
      </c>
      <c r="O69">
        <v>540</v>
      </c>
    </row>
    <row r="70" spans="1:15">
      <c r="A70">
        <v>10069</v>
      </c>
      <c r="B70" s="1">
        <v>45745</v>
      </c>
      <c r="C70" s="2" t="s">
        <v>15</v>
      </c>
      <c r="D70" s="2" t="s">
        <v>53</v>
      </c>
      <c r="E70" s="2" t="s">
        <v>30</v>
      </c>
      <c r="F70" s="2" t="s">
        <v>54</v>
      </c>
      <c r="G70" s="2" t="s">
        <v>51</v>
      </c>
      <c r="H70">
        <v>2</v>
      </c>
      <c r="I70">
        <v>180</v>
      </c>
      <c r="J70">
        <v>0.2</v>
      </c>
      <c r="K70" s="2" t="s">
        <v>108</v>
      </c>
      <c r="L70" s="2" t="s">
        <v>64</v>
      </c>
      <c r="M70">
        <v>360</v>
      </c>
      <c r="N70">
        <v>72</v>
      </c>
      <c r="O70">
        <v>288</v>
      </c>
    </row>
    <row r="71" spans="1:15">
      <c r="A71">
        <v>10070</v>
      </c>
      <c r="B71" s="1">
        <v>45672</v>
      </c>
      <c r="C71" s="2" t="s">
        <v>22</v>
      </c>
      <c r="D71" s="2" t="s">
        <v>56</v>
      </c>
      <c r="E71" s="2" t="s">
        <v>17</v>
      </c>
      <c r="F71" s="2" t="s">
        <v>57</v>
      </c>
      <c r="G71" s="2" t="s">
        <v>19</v>
      </c>
      <c r="H71">
        <v>4</v>
      </c>
      <c r="I71">
        <v>2375</v>
      </c>
      <c r="J71">
        <v>0.15</v>
      </c>
      <c r="K71" s="2" t="s">
        <v>26</v>
      </c>
      <c r="L71" s="2" t="s">
        <v>65</v>
      </c>
      <c r="M71">
        <v>9500</v>
      </c>
      <c r="N71">
        <v>1425</v>
      </c>
      <c r="O71">
        <v>8075</v>
      </c>
    </row>
    <row r="72" spans="1:15">
      <c r="A72">
        <v>10071</v>
      </c>
      <c r="B72" s="1">
        <v>45746</v>
      </c>
      <c r="C72" s="2" t="s">
        <v>28</v>
      </c>
      <c r="D72" s="2" t="s">
        <v>59</v>
      </c>
      <c r="E72" s="2" t="s">
        <v>24</v>
      </c>
      <c r="F72" s="2" t="s">
        <v>18</v>
      </c>
      <c r="G72" s="2" t="s">
        <v>19</v>
      </c>
      <c r="H72">
        <v>2</v>
      </c>
      <c r="I72">
        <v>65000</v>
      </c>
      <c r="J72">
        <v>0.1</v>
      </c>
      <c r="K72" s="2" t="s">
        <v>32</v>
      </c>
      <c r="L72" s="2" t="s">
        <v>66</v>
      </c>
      <c r="M72">
        <v>130000</v>
      </c>
      <c r="N72">
        <v>13000</v>
      </c>
      <c r="O72">
        <v>117000</v>
      </c>
    </row>
    <row r="73" spans="1:15">
      <c r="A73">
        <v>10072</v>
      </c>
      <c r="B73" s="1">
        <v>45761</v>
      </c>
      <c r="C73" s="2" t="s">
        <v>34</v>
      </c>
      <c r="D73" s="2" t="s">
        <v>61</v>
      </c>
      <c r="E73" s="2" t="s">
        <v>30</v>
      </c>
      <c r="F73" s="2" t="s">
        <v>25</v>
      </c>
      <c r="G73" s="2" t="s">
        <v>19</v>
      </c>
      <c r="H73">
        <v>4</v>
      </c>
      <c r="I73">
        <v>11400</v>
      </c>
      <c r="J73">
        <v>0.2</v>
      </c>
      <c r="K73" s="2" t="s">
        <v>37</v>
      </c>
      <c r="L73" s="2" t="s">
        <v>67</v>
      </c>
      <c r="M73">
        <v>45600</v>
      </c>
      <c r="N73">
        <v>9120</v>
      </c>
      <c r="O73">
        <v>36480</v>
      </c>
    </row>
    <row r="74" spans="1:15">
      <c r="A74">
        <v>10073</v>
      </c>
      <c r="B74" s="1">
        <v>45706</v>
      </c>
      <c r="C74" s="2" t="s">
        <v>15</v>
      </c>
      <c r="D74" s="2" t="s">
        <v>16</v>
      </c>
      <c r="E74" s="2" t="s">
        <v>17</v>
      </c>
      <c r="F74" s="2" t="s">
        <v>31</v>
      </c>
      <c r="G74" s="2" t="s">
        <v>19</v>
      </c>
      <c r="H74">
        <v>4</v>
      </c>
      <c r="I74">
        <v>1890</v>
      </c>
      <c r="J74">
        <v>0.1</v>
      </c>
      <c r="K74" s="2" t="s">
        <v>20</v>
      </c>
      <c r="L74" s="2" t="s">
        <v>70</v>
      </c>
      <c r="M74">
        <v>7560</v>
      </c>
      <c r="N74">
        <v>756</v>
      </c>
      <c r="O74">
        <v>6804</v>
      </c>
    </row>
    <row r="75" spans="1:15">
      <c r="A75">
        <v>10074</v>
      </c>
      <c r="B75" s="1">
        <v>45752</v>
      </c>
      <c r="C75" s="2" t="s">
        <v>22</v>
      </c>
      <c r="D75" s="2" t="s">
        <v>23</v>
      </c>
      <c r="E75" s="2" t="s">
        <v>24</v>
      </c>
      <c r="F75" s="2" t="s">
        <v>36</v>
      </c>
      <c r="G75" s="2" t="s">
        <v>19</v>
      </c>
      <c r="H75">
        <v>7</v>
      </c>
      <c r="I75">
        <v>800</v>
      </c>
      <c r="J75">
        <v>0.05</v>
      </c>
      <c r="K75" s="2" t="s">
        <v>26</v>
      </c>
      <c r="L75" s="2" t="s">
        <v>71</v>
      </c>
      <c r="M75">
        <v>5600</v>
      </c>
      <c r="N75">
        <v>280</v>
      </c>
      <c r="O75">
        <v>5320</v>
      </c>
    </row>
    <row r="76" spans="1:15">
      <c r="A76">
        <v>10075</v>
      </c>
      <c r="B76" s="1">
        <v>45661</v>
      </c>
      <c r="C76" s="2" t="s">
        <v>28</v>
      </c>
      <c r="D76" s="2" t="s">
        <v>29</v>
      </c>
      <c r="E76" s="2" t="s">
        <v>30</v>
      </c>
      <c r="F76" s="2" t="s">
        <v>40</v>
      </c>
      <c r="G76" s="2" t="s">
        <v>41</v>
      </c>
      <c r="H76">
        <v>6</v>
      </c>
      <c r="I76">
        <v>8500</v>
      </c>
      <c r="J76">
        <v>0.1</v>
      </c>
      <c r="K76" s="2" t="s">
        <v>32</v>
      </c>
      <c r="L76" s="2" t="s">
        <v>72</v>
      </c>
      <c r="M76">
        <v>51000</v>
      </c>
      <c r="N76">
        <v>5100</v>
      </c>
      <c r="O76">
        <v>45900</v>
      </c>
    </row>
    <row r="77" spans="1:15">
      <c r="A77">
        <v>10076</v>
      </c>
      <c r="B77" s="1">
        <v>45820</v>
      </c>
      <c r="C77" s="2" t="s">
        <v>34</v>
      </c>
      <c r="D77" s="2" t="s">
        <v>35</v>
      </c>
      <c r="E77" s="2" t="s">
        <v>17</v>
      </c>
      <c r="F77" s="2" t="s">
        <v>44</v>
      </c>
      <c r="G77" s="2" t="s">
        <v>41</v>
      </c>
      <c r="H77">
        <v>3</v>
      </c>
      <c r="I77">
        <v>13300</v>
      </c>
      <c r="J77">
        <v>0.2</v>
      </c>
      <c r="K77" s="2" t="s">
        <v>37</v>
      </c>
      <c r="L77" s="2" t="s">
        <v>73</v>
      </c>
      <c r="M77">
        <v>39900</v>
      </c>
      <c r="N77">
        <v>7980</v>
      </c>
      <c r="O77">
        <v>31920</v>
      </c>
    </row>
    <row r="78" spans="1:15">
      <c r="A78">
        <v>10077</v>
      </c>
      <c r="B78" s="1">
        <v>45758</v>
      </c>
      <c r="C78" s="2" t="s">
        <v>15</v>
      </c>
      <c r="D78" s="2" t="s">
        <v>39</v>
      </c>
      <c r="E78" s="2" t="s">
        <v>24</v>
      </c>
      <c r="F78" s="2" t="s">
        <v>47</v>
      </c>
      <c r="G78" s="2" t="s">
        <v>19</v>
      </c>
      <c r="H78">
        <v>4</v>
      </c>
      <c r="I78">
        <v>11000</v>
      </c>
      <c r="J78">
        <v>0</v>
      </c>
      <c r="K78" s="2" t="s">
        <v>20</v>
      </c>
      <c r="L78" s="2" t="s">
        <v>74</v>
      </c>
      <c r="M78">
        <v>44000</v>
      </c>
      <c r="N78">
        <v>0</v>
      </c>
      <c r="O78">
        <v>44000</v>
      </c>
    </row>
    <row r="79" spans="1:15">
      <c r="A79">
        <v>10078</v>
      </c>
      <c r="B79" s="1">
        <v>45779</v>
      </c>
      <c r="C79" s="2" t="s">
        <v>22</v>
      </c>
      <c r="D79" s="2" t="s">
        <v>68</v>
      </c>
      <c r="E79" s="2" t="s">
        <v>30</v>
      </c>
      <c r="F79" s="2" t="s">
        <v>50</v>
      </c>
      <c r="G79" s="2" t="s">
        <v>51</v>
      </c>
      <c r="H79">
        <v>3</v>
      </c>
      <c r="I79">
        <v>120</v>
      </c>
      <c r="J79">
        <v>0</v>
      </c>
      <c r="K79" s="2" t="s">
        <v>26</v>
      </c>
      <c r="L79" s="2" t="s">
        <v>75</v>
      </c>
      <c r="M79">
        <v>360</v>
      </c>
      <c r="N79">
        <v>0</v>
      </c>
      <c r="O79">
        <v>360</v>
      </c>
    </row>
    <row r="80" spans="1:15">
      <c r="A80">
        <v>10079</v>
      </c>
      <c r="B80" s="1">
        <v>45777</v>
      </c>
      <c r="C80" s="2" t="s">
        <v>28</v>
      </c>
      <c r="D80" s="2" t="s">
        <v>46</v>
      </c>
      <c r="E80" s="2" t="s">
        <v>17</v>
      </c>
      <c r="F80" s="2" t="s">
        <v>54</v>
      </c>
      <c r="G80" s="2" t="s">
        <v>51</v>
      </c>
      <c r="H80">
        <v>1</v>
      </c>
      <c r="I80">
        <v>171</v>
      </c>
      <c r="J80">
        <v>0.05</v>
      </c>
      <c r="K80" s="2" t="s">
        <v>32</v>
      </c>
      <c r="L80" s="2" t="s">
        <v>76</v>
      </c>
      <c r="M80">
        <v>171</v>
      </c>
      <c r="N80">
        <v>8.5500000000000007</v>
      </c>
      <c r="O80">
        <v>162.44999999999999</v>
      </c>
    </row>
    <row r="81" spans="1:15">
      <c r="A81">
        <v>10080</v>
      </c>
      <c r="B81" s="1"/>
      <c r="C81" s="2" t="s">
        <v>34</v>
      </c>
      <c r="D81" s="2" t="s">
        <v>49</v>
      </c>
      <c r="E81" s="2" t="s">
        <v>24</v>
      </c>
      <c r="F81" s="2" t="s">
        <v>57</v>
      </c>
      <c r="G81" s="2" t="s">
        <v>19</v>
      </c>
      <c r="H81">
        <v>6</v>
      </c>
      <c r="I81">
        <v>2625</v>
      </c>
      <c r="J81">
        <v>0.15</v>
      </c>
      <c r="K81" s="2" t="s">
        <v>37</v>
      </c>
      <c r="L81" s="2" t="s">
        <v>77</v>
      </c>
      <c r="M81">
        <v>15750</v>
      </c>
      <c r="N81">
        <v>2362.5</v>
      </c>
      <c r="O81">
        <v>13387.5</v>
      </c>
    </row>
    <row r="82" spans="1:15">
      <c r="A82">
        <v>10081</v>
      </c>
      <c r="B82" s="1">
        <v>45823</v>
      </c>
      <c r="C82" s="2" t="s">
        <v>15</v>
      </c>
      <c r="D82" s="2" t="s">
        <v>53</v>
      </c>
      <c r="E82" s="2" t="s">
        <v>30</v>
      </c>
      <c r="F82" s="2" t="s">
        <v>18</v>
      </c>
      <c r="G82" s="2" t="s">
        <v>19</v>
      </c>
      <c r="H82">
        <v>3</v>
      </c>
      <c r="I82">
        <v>65000</v>
      </c>
      <c r="J82">
        <v>0</v>
      </c>
      <c r="K82" s="2" t="s">
        <v>20</v>
      </c>
      <c r="L82" s="2" t="s">
        <v>78</v>
      </c>
      <c r="M82">
        <v>195000</v>
      </c>
      <c r="N82">
        <v>0</v>
      </c>
      <c r="O82">
        <v>195000</v>
      </c>
    </row>
    <row r="83" spans="1:15">
      <c r="A83">
        <v>10082</v>
      </c>
      <c r="B83" s="1">
        <v>45664</v>
      </c>
      <c r="C83" s="2" t="s">
        <v>22</v>
      </c>
      <c r="D83" s="2" t="s">
        <v>56</v>
      </c>
      <c r="E83" s="2" t="s">
        <v>17</v>
      </c>
      <c r="F83" s="2" t="s">
        <v>25</v>
      </c>
      <c r="G83" s="2" t="s">
        <v>19</v>
      </c>
      <c r="H83">
        <v>7</v>
      </c>
      <c r="I83">
        <v>11400</v>
      </c>
      <c r="J83">
        <v>0.05</v>
      </c>
      <c r="K83" s="2" t="s">
        <v>26</v>
      </c>
      <c r="L83" s="2" t="s">
        <v>79</v>
      </c>
      <c r="M83">
        <v>79800</v>
      </c>
      <c r="N83">
        <v>3990</v>
      </c>
      <c r="O83">
        <v>75810</v>
      </c>
    </row>
    <row r="84" spans="1:15">
      <c r="A84">
        <v>10083</v>
      </c>
      <c r="B84" s="1">
        <v>45725</v>
      </c>
      <c r="C84" s="2" t="s">
        <v>28</v>
      </c>
      <c r="D84" s="2" t="s">
        <v>59</v>
      </c>
      <c r="E84" s="2" t="s">
        <v>24</v>
      </c>
      <c r="F84" s="2" t="s">
        <v>31</v>
      </c>
      <c r="G84" s="2" t="s">
        <v>19</v>
      </c>
      <c r="H84">
        <v>1</v>
      </c>
      <c r="I84">
        <v>1800</v>
      </c>
      <c r="J84">
        <v>0.1</v>
      </c>
      <c r="K84" s="2" t="s">
        <v>32</v>
      </c>
      <c r="L84" s="2" t="s">
        <v>80</v>
      </c>
      <c r="M84">
        <v>1800</v>
      </c>
      <c r="N84">
        <v>180</v>
      </c>
      <c r="O84">
        <v>1620</v>
      </c>
    </row>
    <row r="85" spans="1:15">
      <c r="A85">
        <v>10084</v>
      </c>
      <c r="B85" s="1">
        <v>45804</v>
      </c>
      <c r="C85" s="2" t="s">
        <v>34</v>
      </c>
      <c r="D85" s="2" t="s">
        <v>61</v>
      </c>
      <c r="E85" s="2" t="s">
        <v>30</v>
      </c>
      <c r="F85" s="2" t="s">
        <v>36</v>
      </c>
      <c r="G85" s="2" t="s">
        <v>19</v>
      </c>
      <c r="H85">
        <v>3</v>
      </c>
      <c r="I85">
        <v>800</v>
      </c>
      <c r="J85">
        <v>0.2</v>
      </c>
      <c r="K85" s="2" t="s">
        <v>37</v>
      </c>
      <c r="L85" s="2" t="s">
        <v>81</v>
      </c>
      <c r="M85">
        <v>2400</v>
      </c>
      <c r="N85">
        <v>480</v>
      </c>
      <c r="O85">
        <v>1920</v>
      </c>
    </row>
    <row r="86" spans="1:15">
      <c r="A86">
        <v>10085</v>
      </c>
      <c r="B86" s="1">
        <v>45830</v>
      </c>
      <c r="C86" s="2" t="s">
        <v>15</v>
      </c>
      <c r="D86" s="2" t="s">
        <v>16</v>
      </c>
      <c r="E86" s="2" t="s">
        <v>17</v>
      </c>
      <c r="F86" s="2" t="s">
        <v>40</v>
      </c>
      <c r="G86" s="2" t="s">
        <v>41</v>
      </c>
      <c r="H86">
        <v>7</v>
      </c>
      <c r="I86">
        <v>8075</v>
      </c>
      <c r="J86">
        <v>0.05</v>
      </c>
      <c r="K86" s="2" t="s">
        <v>20</v>
      </c>
      <c r="L86" s="2" t="s">
        <v>82</v>
      </c>
      <c r="M86">
        <v>56525</v>
      </c>
      <c r="N86">
        <v>2826.25</v>
      </c>
      <c r="O86">
        <v>53698.75</v>
      </c>
    </row>
    <row r="87" spans="1:15">
      <c r="A87">
        <v>10086</v>
      </c>
      <c r="B87" s="1">
        <v>45751</v>
      </c>
      <c r="C87" s="2" t="s">
        <v>22</v>
      </c>
      <c r="D87" s="2" t="s">
        <v>23</v>
      </c>
      <c r="E87" s="2" t="s">
        <v>24</v>
      </c>
      <c r="F87" s="2" t="s">
        <v>44</v>
      </c>
      <c r="G87" s="2" t="s">
        <v>41</v>
      </c>
      <c r="H87">
        <v>5</v>
      </c>
      <c r="I87">
        <v>14000</v>
      </c>
      <c r="J87">
        <v>0.05</v>
      </c>
      <c r="K87" s="2" t="s">
        <v>26</v>
      </c>
      <c r="L87" s="2" t="s">
        <v>83</v>
      </c>
      <c r="M87">
        <v>70000</v>
      </c>
      <c r="N87">
        <v>3500</v>
      </c>
      <c r="O87">
        <v>66500</v>
      </c>
    </row>
    <row r="88" spans="1:15">
      <c r="A88">
        <v>10087</v>
      </c>
      <c r="B88" s="1">
        <v>45827</v>
      </c>
      <c r="C88" s="2" t="s">
        <v>28</v>
      </c>
      <c r="D88" s="2" t="s">
        <v>29</v>
      </c>
      <c r="E88" s="2" t="s">
        <v>30</v>
      </c>
      <c r="F88" s="2" t="s">
        <v>47</v>
      </c>
      <c r="G88" s="2" t="s">
        <v>19</v>
      </c>
      <c r="H88">
        <v>7</v>
      </c>
      <c r="I88">
        <v>11550</v>
      </c>
      <c r="J88">
        <v>0.05</v>
      </c>
      <c r="K88" s="2" t="s">
        <v>32</v>
      </c>
      <c r="L88" s="2" t="s">
        <v>84</v>
      </c>
      <c r="M88">
        <v>80850</v>
      </c>
      <c r="N88">
        <v>4042.5</v>
      </c>
      <c r="O88">
        <v>76807.5</v>
      </c>
    </row>
    <row r="89" spans="1:15">
      <c r="A89">
        <v>10088</v>
      </c>
      <c r="B89" s="1">
        <v>45666</v>
      </c>
      <c r="C89" s="2" t="s">
        <v>34</v>
      </c>
      <c r="D89" s="2" t="s">
        <v>35</v>
      </c>
      <c r="E89" s="2" t="s">
        <v>17</v>
      </c>
      <c r="F89" s="2" t="s">
        <v>50</v>
      </c>
      <c r="G89" s="2" t="s">
        <v>51</v>
      </c>
      <c r="H89">
        <v>2</v>
      </c>
      <c r="I89">
        <v>120</v>
      </c>
      <c r="J89">
        <v>0</v>
      </c>
      <c r="K89" s="2" t="s">
        <v>37</v>
      </c>
      <c r="L89" s="2" t="s">
        <v>85</v>
      </c>
      <c r="M89">
        <v>240</v>
      </c>
      <c r="N89">
        <v>0</v>
      </c>
      <c r="O89">
        <v>240</v>
      </c>
    </row>
    <row r="90" spans="1:15">
      <c r="A90">
        <v>10089</v>
      </c>
      <c r="B90" s="1">
        <v>45837</v>
      </c>
      <c r="C90" s="2" t="s">
        <v>15</v>
      </c>
      <c r="D90" s="2" t="s">
        <v>39</v>
      </c>
      <c r="E90" s="2" t="s">
        <v>24</v>
      </c>
      <c r="F90" s="2" t="s">
        <v>54</v>
      </c>
      <c r="G90" s="2" t="s">
        <v>51</v>
      </c>
      <c r="H90">
        <v>3</v>
      </c>
      <c r="I90">
        <v>189</v>
      </c>
      <c r="J90">
        <v>0.1</v>
      </c>
      <c r="K90" s="2" t="s">
        <v>20</v>
      </c>
      <c r="L90" s="2" t="s">
        <v>86</v>
      </c>
      <c r="M90">
        <v>567</v>
      </c>
      <c r="N90">
        <v>56.7</v>
      </c>
      <c r="O90">
        <v>510.3</v>
      </c>
    </row>
    <row r="91" spans="1:15">
      <c r="A91">
        <v>10090</v>
      </c>
      <c r="B91" s="1">
        <v>45793</v>
      </c>
      <c r="C91" s="2" t="s">
        <v>22</v>
      </c>
      <c r="D91" s="2" t="s">
        <v>68</v>
      </c>
      <c r="E91" s="2" t="s">
        <v>30</v>
      </c>
      <c r="F91" s="2" t="s">
        <v>57</v>
      </c>
      <c r="G91" s="2" t="s">
        <v>19</v>
      </c>
      <c r="H91">
        <v>2</v>
      </c>
      <c r="I91">
        <v>2375</v>
      </c>
      <c r="J91">
        <v>0.2</v>
      </c>
      <c r="K91" s="2" t="s">
        <v>26</v>
      </c>
      <c r="L91" s="2" t="s">
        <v>87</v>
      </c>
      <c r="M91">
        <v>4750</v>
      </c>
      <c r="N91">
        <v>950</v>
      </c>
      <c r="O91">
        <v>3800</v>
      </c>
    </row>
    <row r="92" spans="1:15">
      <c r="A92">
        <v>10091</v>
      </c>
      <c r="B92" s="1">
        <v>45819</v>
      </c>
      <c r="C92" s="2" t="s">
        <v>28</v>
      </c>
      <c r="D92" s="2" t="s">
        <v>46</v>
      </c>
      <c r="E92" s="2" t="s">
        <v>17</v>
      </c>
      <c r="F92" s="2" t="s">
        <v>18</v>
      </c>
      <c r="G92" s="2" t="s">
        <v>19</v>
      </c>
      <c r="H92">
        <v>6</v>
      </c>
      <c r="I92">
        <v>61750</v>
      </c>
      <c r="J92">
        <v>0.2</v>
      </c>
      <c r="K92" s="2" t="s">
        <v>32</v>
      </c>
      <c r="L92" s="2" t="s">
        <v>88</v>
      </c>
      <c r="M92">
        <v>370500</v>
      </c>
      <c r="N92">
        <v>74100</v>
      </c>
      <c r="O92">
        <v>296400</v>
      </c>
    </row>
    <row r="93" spans="1:15">
      <c r="A93">
        <v>10092</v>
      </c>
      <c r="B93" s="1">
        <v>45715</v>
      </c>
      <c r="C93" s="2" t="s">
        <v>34</v>
      </c>
      <c r="D93" s="2" t="s">
        <v>49</v>
      </c>
      <c r="E93" s="2" t="s">
        <v>24</v>
      </c>
      <c r="F93" s="2" t="s">
        <v>25</v>
      </c>
      <c r="G93" s="2" t="s">
        <v>19</v>
      </c>
      <c r="H93">
        <v>1</v>
      </c>
      <c r="I93">
        <v>12000</v>
      </c>
      <c r="J93">
        <v>0.1</v>
      </c>
      <c r="K93" s="2" t="s">
        <v>37</v>
      </c>
      <c r="L93" s="2" t="s">
        <v>89</v>
      </c>
      <c r="M93">
        <v>12000</v>
      </c>
      <c r="N93">
        <v>1200</v>
      </c>
      <c r="O93">
        <v>10800</v>
      </c>
    </row>
    <row r="94" spans="1:15">
      <c r="A94">
        <v>10093</v>
      </c>
      <c r="B94" s="1">
        <v>45777</v>
      </c>
      <c r="C94" s="2" t="s">
        <v>15</v>
      </c>
      <c r="D94" s="2" t="s">
        <v>53</v>
      </c>
      <c r="E94" s="2" t="s">
        <v>30</v>
      </c>
      <c r="F94" s="2" t="s">
        <v>31</v>
      </c>
      <c r="G94" s="2" t="s">
        <v>19</v>
      </c>
      <c r="H94">
        <v>1</v>
      </c>
      <c r="I94">
        <v>1800</v>
      </c>
      <c r="J94">
        <v>0.15</v>
      </c>
      <c r="K94" s="2" t="s">
        <v>20</v>
      </c>
      <c r="L94" s="2" t="s">
        <v>90</v>
      </c>
      <c r="M94">
        <v>1800</v>
      </c>
      <c r="N94">
        <v>270</v>
      </c>
      <c r="O94">
        <v>1530</v>
      </c>
    </row>
    <row r="95" spans="1:15">
      <c r="A95">
        <v>10094</v>
      </c>
      <c r="B95" s="1">
        <v>45675</v>
      </c>
      <c r="C95" s="2" t="s">
        <v>22</v>
      </c>
      <c r="D95" s="2" t="s">
        <v>56</v>
      </c>
      <c r="E95" s="2" t="s">
        <v>17</v>
      </c>
      <c r="F95" s="2" t="s">
        <v>36</v>
      </c>
      <c r="G95" s="2" t="s">
        <v>19</v>
      </c>
      <c r="H95">
        <v>3</v>
      </c>
      <c r="I95">
        <v>840</v>
      </c>
      <c r="J95">
        <v>0.05</v>
      </c>
      <c r="K95" s="2" t="s">
        <v>26</v>
      </c>
      <c r="L95" s="2" t="s">
        <v>91</v>
      </c>
      <c r="M95">
        <v>2520</v>
      </c>
      <c r="N95">
        <v>126</v>
      </c>
      <c r="O95">
        <v>2394</v>
      </c>
    </row>
    <row r="96" spans="1:15">
      <c r="A96">
        <v>10095</v>
      </c>
      <c r="B96" s="1">
        <v>45705</v>
      </c>
      <c r="C96" s="2" t="s">
        <v>28</v>
      </c>
      <c r="D96" s="2" t="s">
        <v>59</v>
      </c>
      <c r="E96" s="2" t="s">
        <v>24</v>
      </c>
      <c r="F96" s="2" t="s">
        <v>40</v>
      </c>
      <c r="G96" s="2" t="s">
        <v>41</v>
      </c>
      <c r="H96">
        <v>6</v>
      </c>
      <c r="I96">
        <v>8500</v>
      </c>
      <c r="J96">
        <v>0.15</v>
      </c>
      <c r="K96" s="2" t="s">
        <v>32</v>
      </c>
      <c r="L96" s="2" t="s">
        <v>92</v>
      </c>
      <c r="M96">
        <v>51000</v>
      </c>
      <c r="N96">
        <v>7650</v>
      </c>
      <c r="O96">
        <v>43350</v>
      </c>
    </row>
    <row r="97" spans="1:15">
      <c r="A97">
        <v>10096</v>
      </c>
      <c r="B97" s="1">
        <v>45701</v>
      </c>
      <c r="C97" s="2" t="s">
        <v>34</v>
      </c>
      <c r="D97" s="2" t="s">
        <v>61</v>
      </c>
      <c r="E97" s="2" t="s">
        <v>30</v>
      </c>
      <c r="F97" s="2" t="s">
        <v>44</v>
      </c>
      <c r="G97" s="2" t="s">
        <v>109</v>
      </c>
      <c r="H97">
        <v>1</v>
      </c>
      <c r="I97">
        <v>14700</v>
      </c>
      <c r="J97">
        <v>0.2</v>
      </c>
      <c r="K97" s="2" t="s">
        <v>37</v>
      </c>
      <c r="L97" s="2" t="s">
        <v>93</v>
      </c>
      <c r="M97">
        <v>14700</v>
      </c>
      <c r="N97">
        <v>2940</v>
      </c>
      <c r="O97">
        <v>11760</v>
      </c>
    </row>
    <row r="98" spans="1:15">
      <c r="A98">
        <v>10097</v>
      </c>
      <c r="B98" s="1">
        <v>45808</v>
      </c>
      <c r="C98" s="2" t="s">
        <v>15</v>
      </c>
      <c r="D98" s="2" t="s">
        <v>16</v>
      </c>
      <c r="E98" s="2" t="s">
        <v>17</v>
      </c>
      <c r="F98" s="2" t="s">
        <v>47</v>
      </c>
      <c r="G98" s="2" t="s">
        <v>19</v>
      </c>
      <c r="H98">
        <v>1</v>
      </c>
      <c r="I98">
        <v>10450</v>
      </c>
      <c r="J98">
        <v>0</v>
      </c>
      <c r="K98" s="2" t="s">
        <v>20</v>
      </c>
      <c r="L98" s="2" t="s">
        <v>94</v>
      </c>
      <c r="M98">
        <v>10450</v>
      </c>
      <c r="N98">
        <v>0</v>
      </c>
      <c r="O98">
        <v>10450</v>
      </c>
    </row>
    <row r="99" spans="1:15">
      <c r="A99">
        <v>10098</v>
      </c>
      <c r="B99" s="1">
        <v>45690</v>
      </c>
      <c r="C99" s="2" t="s">
        <v>22</v>
      </c>
      <c r="D99" s="2" t="s">
        <v>23</v>
      </c>
      <c r="E99" s="2" t="s">
        <v>24</v>
      </c>
      <c r="F99" s="2" t="s">
        <v>50</v>
      </c>
      <c r="G99" s="2" t="s">
        <v>51</v>
      </c>
      <c r="H99">
        <v>7</v>
      </c>
      <c r="I99">
        <v>120</v>
      </c>
      <c r="J99">
        <v>0</v>
      </c>
      <c r="K99" s="2" t="s">
        <v>26</v>
      </c>
      <c r="L99" s="2" t="s">
        <v>95</v>
      </c>
      <c r="M99">
        <v>840</v>
      </c>
      <c r="N99">
        <v>0</v>
      </c>
      <c r="O99">
        <v>840</v>
      </c>
    </row>
    <row r="100" spans="1:15">
      <c r="A100">
        <v>10099</v>
      </c>
      <c r="B100" s="1">
        <v>45816</v>
      </c>
      <c r="C100" s="2" t="s">
        <v>28</v>
      </c>
      <c r="D100" s="2" t="s">
        <v>29</v>
      </c>
      <c r="E100" s="2" t="s">
        <v>30</v>
      </c>
      <c r="F100" s="2" t="s">
        <v>54</v>
      </c>
      <c r="G100" s="2" t="s">
        <v>51</v>
      </c>
      <c r="H100">
        <v>3</v>
      </c>
      <c r="I100">
        <v>180</v>
      </c>
      <c r="J100">
        <v>0.1</v>
      </c>
      <c r="K100" s="2" t="s">
        <v>32</v>
      </c>
      <c r="L100" s="2" t="s">
        <v>96</v>
      </c>
      <c r="M100">
        <v>540</v>
      </c>
      <c r="N100">
        <v>54</v>
      </c>
      <c r="O100">
        <v>486</v>
      </c>
    </row>
    <row r="101" spans="1:15">
      <c r="A101">
        <v>10100</v>
      </c>
      <c r="B101" s="1">
        <v>45714</v>
      </c>
      <c r="C101" s="2" t="s">
        <v>34</v>
      </c>
      <c r="D101" s="2" t="s">
        <v>35</v>
      </c>
      <c r="E101" s="2" t="s">
        <v>17</v>
      </c>
      <c r="F101" s="2" t="s">
        <v>57</v>
      </c>
      <c r="G101" s="2" t="s">
        <v>19</v>
      </c>
      <c r="H101">
        <v>1</v>
      </c>
      <c r="I101">
        <v>2500</v>
      </c>
      <c r="J101">
        <v>0</v>
      </c>
      <c r="K101" s="2" t="s">
        <v>37</v>
      </c>
      <c r="L101" s="2" t="s">
        <v>97</v>
      </c>
      <c r="M101">
        <v>2500</v>
      </c>
      <c r="N101">
        <v>0</v>
      </c>
      <c r="O101">
        <v>2500</v>
      </c>
    </row>
    <row r="102" spans="1:15">
      <c r="A102">
        <v>10101</v>
      </c>
      <c r="B102" s="1">
        <v>45833</v>
      </c>
      <c r="C102" s="2" t="s">
        <v>15</v>
      </c>
      <c r="D102" s="2" t="s">
        <v>39</v>
      </c>
      <c r="E102" s="2" t="s">
        <v>24</v>
      </c>
      <c r="F102" s="2" t="s">
        <v>18</v>
      </c>
      <c r="G102" s="2" t="s">
        <v>19</v>
      </c>
      <c r="H102">
        <v>7</v>
      </c>
      <c r="I102">
        <v>65000</v>
      </c>
      <c r="J102">
        <v>0.15</v>
      </c>
      <c r="K102" s="2" t="s">
        <v>20</v>
      </c>
      <c r="L102" s="2" t="s">
        <v>98</v>
      </c>
      <c r="M102">
        <v>455000</v>
      </c>
      <c r="N102">
        <v>68250</v>
      </c>
      <c r="O102">
        <v>386750</v>
      </c>
    </row>
    <row r="103" spans="1:15">
      <c r="A103">
        <v>10102</v>
      </c>
      <c r="B103" s="1">
        <v>45684</v>
      </c>
      <c r="C103" s="2" t="s">
        <v>22</v>
      </c>
      <c r="D103" s="2" t="s">
        <v>68</v>
      </c>
      <c r="E103" s="2" t="s">
        <v>30</v>
      </c>
      <c r="F103" s="2" t="s">
        <v>25</v>
      </c>
      <c r="G103" s="2" t="s">
        <v>19</v>
      </c>
      <c r="H103">
        <v>4</v>
      </c>
      <c r="I103">
        <v>12000</v>
      </c>
      <c r="J103">
        <v>0.1</v>
      </c>
      <c r="K103" s="2" t="s">
        <v>26</v>
      </c>
      <c r="L103" s="2" t="s">
        <v>99</v>
      </c>
      <c r="M103">
        <v>48000</v>
      </c>
      <c r="N103">
        <v>4800</v>
      </c>
      <c r="O103">
        <v>43200</v>
      </c>
    </row>
    <row r="104" spans="1:15">
      <c r="A104">
        <v>10103</v>
      </c>
      <c r="B104" s="1">
        <v>45699</v>
      </c>
      <c r="C104" s="2" t="s">
        <v>28</v>
      </c>
      <c r="D104" s="2" t="s">
        <v>46</v>
      </c>
      <c r="E104" s="2" t="s">
        <v>17</v>
      </c>
      <c r="F104" s="2" t="s">
        <v>31</v>
      </c>
      <c r="G104" s="2" t="s">
        <v>19</v>
      </c>
      <c r="H104">
        <v>7</v>
      </c>
      <c r="I104">
        <v>1710</v>
      </c>
      <c r="J104">
        <v>0</v>
      </c>
      <c r="K104" s="2" t="s">
        <v>32</v>
      </c>
      <c r="L104" s="2" t="s">
        <v>100</v>
      </c>
      <c r="M104">
        <v>11970</v>
      </c>
      <c r="N104">
        <v>0</v>
      </c>
      <c r="O104">
        <v>11970</v>
      </c>
    </row>
    <row r="105" spans="1:15">
      <c r="A105">
        <v>10104</v>
      </c>
      <c r="B105" s="1">
        <v>45780</v>
      </c>
      <c r="C105" s="2" t="s">
        <v>34</v>
      </c>
      <c r="D105" s="2" t="s">
        <v>49</v>
      </c>
      <c r="E105" s="2" t="s">
        <v>24</v>
      </c>
      <c r="F105" s="2" t="s">
        <v>36</v>
      </c>
      <c r="G105" s="2" t="s">
        <v>19</v>
      </c>
      <c r="H105">
        <v>2</v>
      </c>
      <c r="I105">
        <v>760</v>
      </c>
      <c r="J105">
        <v>0</v>
      </c>
      <c r="K105" s="2" t="s">
        <v>37</v>
      </c>
      <c r="L105" s="2" t="s">
        <v>101</v>
      </c>
      <c r="M105">
        <v>1520</v>
      </c>
      <c r="N105">
        <v>0</v>
      </c>
      <c r="O105">
        <v>1520</v>
      </c>
    </row>
    <row r="106" spans="1:15">
      <c r="A106">
        <v>10105</v>
      </c>
      <c r="B106" s="1">
        <v>45749</v>
      </c>
      <c r="C106" s="2" t="s">
        <v>15</v>
      </c>
      <c r="D106" s="2" t="s">
        <v>53</v>
      </c>
      <c r="E106" s="2" t="s">
        <v>30</v>
      </c>
      <c r="F106" s="2" t="s">
        <v>40</v>
      </c>
      <c r="G106" s="2" t="s">
        <v>41</v>
      </c>
      <c r="H106">
        <v>7</v>
      </c>
      <c r="I106">
        <v>8500</v>
      </c>
      <c r="J106">
        <v>0</v>
      </c>
      <c r="K106" s="2" t="s">
        <v>20</v>
      </c>
      <c r="L106" s="2" t="s">
        <v>102</v>
      </c>
      <c r="M106">
        <v>59500</v>
      </c>
      <c r="N106">
        <v>0</v>
      </c>
      <c r="O106">
        <v>59500</v>
      </c>
    </row>
    <row r="107" spans="1:15">
      <c r="A107">
        <v>10106</v>
      </c>
      <c r="B107" s="1">
        <v>45763</v>
      </c>
      <c r="C107" s="2" t="s">
        <v>22</v>
      </c>
      <c r="D107" s="2" t="s">
        <v>56</v>
      </c>
      <c r="E107" s="2" t="s">
        <v>17</v>
      </c>
      <c r="F107" s="2" t="s">
        <v>44</v>
      </c>
      <c r="G107" s="2" t="s">
        <v>41</v>
      </c>
      <c r="H107">
        <v>7</v>
      </c>
      <c r="I107">
        <v>14700</v>
      </c>
      <c r="J107">
        <v>0.15</v>
      </c>
      <c r="K107" s="2" t="s">
        <v>26</v>
      </c>
      <c r="L107" s="2" t="s">
        <v>103</v>
      </c>
      <c r="M107">
        <v>102900</v>
      </c>
      <c r="N107">
        <v>15435</v>
      </c>
      <c r="O107">
        <v>87465</v>
      </c>
    </row>
    <row r="108" spans="1:15">
      <c r="A108">
        <v>10107</v>
      </c>
      <c r="B108" s="1">
        <v>45803</v>
      </c>
      <c r="C108" s="2" t="s">
        <v>28</v>
      </c>
      <c r="D108" s="2" t="s">
        <v>59</v>
      </c>
      <c r="E108" s="2" t="s">
        <v>24</v>
      </c>
      <c r="F108" s="2" t="s">
        <v>47</v>
      </c>
      <c r="G108" s="2" t="s">
        <v>19</v>
      </c>
      <c r="H108">
        <v>3</v>
      </c>
      <c r="I108">
        <v>11550</v>
      </c>
      <c r="J108">
        <v>0</v>
      </c>
      <c r="K108" s="2" t="s">
        <v>32</v>
      </c>
      <c r="L108" s="2" t="s">
        <v>104</v>
      </c>
      <c r="M108">
        <v>34650</v>
      </c>
      <c r="N108">
        <v>0</v>
      </c>
      <c r="O108">
        <v>34650</v>
      </c>
    </row>
    <row r="109" spans="1:15">
      <c r="A109">
        <v>10108</v>
      </c>
      <c r="B109" s="1">
        <v>45791</v>
      </c>
      <c r="C109" s="2" t="s">
        <v>34</v>
      </c>
      <c r="D109" s="2" t="s">
        <v>61</v>
      </c>
      <c r="E109" s="2" t="s">
        <v>30</v>
      </c>
      <c r="F109" s="2" t="s">
        <v>50</v>
      </c>
      <c r="G109" s="2" t="s">
        <v>51</v>
      </c>
      <c r="H109">
        <v>1</v>
      </c>
      <c r="I109">
        <v>114</v>
      </c>
      <c r="J109">
        <v>0.15</v>
      </c>
      <c r="K109" s="2" t="s">
        <v>37</v>
      </c>
      <c r="L109" s="2" t="s">
        <v>105</v>
      </c>
      <c r="M109">
        <v>114</v>
      </c>
      <c r="N109">
        <v>17.099999999999998</v>
      </c>
      <c r="O109">
        <v>96.9</v>
      </c>
    </row>
    <row r="110" spans="1:15">
      <c r="A110">
        <v>10109</v>
      </c>
      <c r="B110" s="1">
        <v>45680</v>
      </c>
      <c r="C110" s="2" t="s">
        <v>15</v>
      </c>
      <c r="D110" s="2" t="s">
        <v>16</v>
      </c>
      <c r="E110" s="2" t="s">
        <v>17</v>
      </c>
      <c r="F110" s="2" t="s">
        <v>54</v>
      </c>
      <c r="G110" s="2" t="s">
        <v>51</v>
      </c>
      <c r="H110">
        <v>6</v>
      </c>
      <c r="I110">
        <v>180</v>
      </c>
      <c r="J110">
        <v>0</v>
      </c>
      <c r="K110" s="2" t="s">
        <v>20</v>
      </c>
      <c r="L110" s="2" t="s">
        <v>106</v>
      </c>
      <c r="M110">
        <v>1080</v>
      </c>
      <c r="N110">
        <v>0</v>
      </c>
      <c r="O110">
        <v>1080</v>
      </c>
    </row>
    <row r="111" spans="1:15">
      <c r="A111">
        <v>10110</v>
      </c>
      <c r="B111" s="1">
        <v>45729</v>
      </c>
      <c r="C111" s="2" t="s">
        <v>22</v>
      </c>
      <c r="D111" s="2" t="s">
        <v>23</v>
      </c>
      <c r="E111" s="2" t="s">
        <v>24</v>
      </c>
      <c r="F111" s="2" t="s">
        <v>57</v>
      </c>
      <c r="G111" s="2" t="s">
        <v>19</v>
      </c>
      <c r="H111">
        <v>4</v>
      </c>
      <c r="I111">
        <v>2375</v>
      </c>
      <c r="J111">
        <v>0.2</v>
      </c>
      <c r="K111" s="2" t="s">
        <v>26</v>
      </c>
      <c r="L111" s="2" t="s">
        <v>107</v>
      </c>
      <c r="M111">
        <v>9500</v>
      </c>
      <c r="N111">
        <v>1900</v>
      </c>
      <c r="O111">
        <v>7600</v>
      </c>
    </row>
    <row r="112" spans="1:15">
      <c r="A112">
        <v>10111</v>
      </c>
      <c r="B112" s="1">
        <v>45746</v>
      </c>
      <c r="C112" s="2" t="s">
        <v>28</v>
      </c>
      <c r="D112" s="2" t="s">
        <v>29</v>
      </c>
      <c r="E112" s="2" t="s">
        <v>30</v>
      </c>
      <c r="F112" s="2" t="s">
        <v>18</v>
      </c>
      <c r="G112" s="2" t="s">
        <v>19</v>
      </c>
      <c r="H112">
        <v>7</v>
      </c>
      <c r="I112">
        <v>61750</v>
      </c>
      <c r="J112">
        <v>0.05</v>
      </c>
      <c r="K112" s="2" t="s">
        <v>32</v>
      </c>
      <c r="L112" s="2" t="s">
        <v>110</v>
      </c>
      <c r="M112">
        <v>432250</v>
      </c>
      <c r="N112">
        <v>21612.5</v>
      </c>
      <c r="O112">
        <v>410637.5</v>
      </c>
    </row>
    <row r="113" spans="1:15">
      <c r="A113">
        <v>10112</v>
      </c>
      <c r="B113" s="1">
        <v>45830</v>
      </c>
      <c r="C113" s="2" t="s">
        <v>34</v>
      </c>
      <c r="D113" s="2" t="s">
        <v>35</v>
      </c>
      <c r="E113" s="2" t="s">
        <v>17</v>
      </c>
      <c r="F113" s="2" t="s">
        <v>25</v>
      </c>
      <c r="G113" s="2" t="s">
        <v>19</v>
      </c>
      <c r="H113">
        <v>4</v>
      </c>
      <c r="I113">
        <v>12000</v>
      </c>
      <c r="J113">
        <v>0.15</v>
      </c>
      <c r="K113" s="2" t="s">
        <v>37</v>
      </c>
      <c r="L113" s="2" t="s">
        <v>27</v>
      </c>
      <c r="M113">
        <v>48000</v>
      </c>
      <c r="N113">
        <v>7200</v>
      </c>
      <c r="O113">
        <v>40800</v>
      </c>
    </row>
    <row r="114" spans="1:15">
      <c r="A114">
        <v>10113</v>
      </c>
      <c r="B114" s="1">
        <v>45825</v>
      </c>
      <c r="C114" s="2" t="s">
        <v>15</v>
      </c>
      <c r="D114" s="2" t="s">
        <v>39</v>
      </c>
      <c r="E114" s="2" t="s">
        <v>24</v>
      </c>
      <c r="F114" s="2" t="s">
        <v>31</v>
      </c>
      <c r="G114" s="2" t="s">
        <v>19</v>
      </c>
      <c r="H114">
        <v>4</v>
      </c>
      <c r="I114">
        <v>1890</v>
      </c>
      <c r="J114">
        <v>0.05</v>
      </c>
      <c r="K114" s="2" t="s">
        <v>20</v>
      </c>
      <c r="L114" s="2" t="s">
        <v>33</v>
      </c>
      <c r="M114">
        <v>7560</v>
      </c>
      <c r="N114">
        <v>378</v>
      </c>
      <c r="O114">
        <v>7182</v>
      </c>
    </row>
    <row r="115" spans="1:15">
      <c r="A115">
        <v>10114</v>
      </c>
      <c r="B115" s="1">
        <v>45758</v>
      </c>
      <c r="C115" s="2" t="s">
        <v>22</v>
      </c>
      <c r="D115" s="2" t="s">
        <v>68</v>
      </c>
      <c r="E115" s="2" t="s">
        <v>30</v>
      </c>
      <c r="F115" s="2" t="s">
        <v>36</v>
      </c>
      <c r="G115" s="2" t="s">
        <v>19</v>
      </c>
      <c r="H115">
        <v>4</v>
      </c>
      <c r="I115">
        <v>800</v>
      </c>
      <c r="J115">
        <v>0</v>
      </c>
      <c r="K115" s="2" t="s">
        <v>26</v>
      </c>
      <c r="L115" s="2" t="s">
        <v>38</v>
      </c>
      <c r="M115">
        <v>3200</v>
      </c>
      <c r="N115">
        <v>0</v>
      </c>
      <c r="O115">
        <v>3200</v>
      </c>
    </row>
    <row r="116" spans="1:15">
      <c r="A116">
        <v>10115</v>
      </c>
      <c r="B116" s="1">
        <v>45677</v>
      </c>
      <c r="C116" s="2" t="s">
        <v>28</v>
      </c>
      <c r="D116" s="2" t="s">
        <v>46</v>
      </c>
      <c r="E116" s="2" t="s">
        <v>17</v>
      </c>
      <c r="F116" s="2" t="s">
        <v>40</v>
      </c>
      <c r="G116" s="2" t="s">
        <v>41</v>
      </c>
      <c r="H116">
        <v>2</v>
      </c>
      <c r="I116">
        <v>8925</v>
      </c>
      <c r="J116">
        <v>0.15</v>
      </c>
      <c r="K116" s="2" t="s">
        <v>32</v>
      </c>
      <c r="L116" s="2" t="s">
        <v>42</v>
      </c>
      <c r="M116">
        <v>17850</v>
      </c>
      <c r="N116">
        <v>2677.5</v>
      </c>
      <c r="O116">
        <v>15172.5</v>
      </c>
    </row>
    <row r="117" spans="1:15">
      <c r="A117">
        <v>10116</v>
      </c>
      <c r="B117" s="1">
        <v>45733</v>
      </c>
      <c r="C117" s="2" t="s">
        <v>34</v>
      </c>
      <c r="D117" s="2" t="s">
        <v>49</v>
      </c>
      <c r="E117" s="2" t="s">
        <v>24</v>
      </c>
      <c r="F117" s="2" t="s">
        <v>44</v>
      </c>
      <c r="G117" s="2" t="s">
        <v>41</v>
      </c>
      <c r="H117">
        <v>6</v>
      </c>
      <c r="I117">
        <v>14000</v>
      </c>
      <c r="J117">
        <v>0</v>
      </c>
      <c r="K117" s="2" t="s">
        <v>37</v>
      </c>
      <c r="L117" s="2" t="s">
        <v>45</v>
      </c>
      <c r="M117">
        <v>84000</v>
      </c>
      <c r="N117">
        <v>0</v>
      </c>
      <c r="O117">
        <v>84000</v>
      </c>
    </row>
    <row r="118" spans="1:15">
      <c r="A118">
        <v>10117</v>
      </c>
      <c r="B118" s="1">
        <v>45765</v>
      </c>
      <c r="C118" s="2" t="s">
        <v>15</v>
      </c>
      <c r="D118" s="2" t="s">
        <v>53</v>
      </c>
      <c r="E118" s="2" t="s">
        <v>30</v>
      </c>
      <c r="F118" s="2" t="s">
        <v>47</v>
      </c>
      <c r="G118" s="2" t="s">
        <v>19</v>
      </c>
      <c r="H118">
        <v>1</v>
      </c>
      <c r="I118">
        <v>10450</v>
      </c>
      <c r="J118">
        <v>0.2</v>
      </c>
      <c r="K118" s="2" t="s">
        <v>20</v>
      </c>
      <c r="L118" s="2" t="s">
        <v>48</v>
      </c>
      <c r="M118">
        <v>10450</v>
      </c>
      <c r="N118">
        <v>2090</v>
      </c>
      <c r="O118">
        <v>8360</v>
      </c>
    </row>
    <row r="119" spans="1:15">
      <c r="A119">
        <v>10118</v>
      </c>
      <c r="B119" s="1">
        <v>45803</v>
      </c>
      <c r="C119" s="2" t="s">
        <v>22</v>
      </c>
      <c r="D119" s="2" t="s">
        <v>56</v>
      </c>
      <c r="E119" s="2" t="s">
        <v>17</v>
      </c>
      <c r="F119" s="2" t="s">
        <v>50</v>
      </c>
      <c r="G119" s="2" t="s">
        <v>51</v>
      </c>
      <c r="H119">
        <v>2</v>
      </c>
      <c r="I119">
        <v>120</v>
      </c>
      <c r="J119">
        <v>0.2</v>
      </c>
      <c r="K119" s="2" t="s">
        <v>26</v>
      </c>
      <c r="L119" s="2" t="s">
        <v>52</v>
      </c>
      <c r="M119">
        <v>240</v>
      </c>
      <c r="N119">
        <v>48</v>
      </c>
      <c r="O119">
        <v>192</v>
      </c>
    </row>
    <row r="120" spans="1:15">
      <c r="A120">
        <v>10119</v>
      </c>
      <c r="B120" s="1">
        <v>45800</v>
      </c>
      <c r="C120" s="2" t="s">
        <v>28</v>
      </c>
      <c r="D120" s="2" t="s">
        <v>59</v>
      </c>
      <c r="E120" s="2" t="s">
        <v>24</v>
      </c>
      <c r="F120" s="2" t="s">
        <v>54</v>
      </c>
      <c r="G120" s="2" t="s">
        <v>51</v>
      </c>
      <c r="H120">
        <v>4</v>
      </c>
      <c r="I120">
        <v>180</v>
      </c>
      <c r="J120">
        <v>0.1</v>
      </c>
      <c r="K120" s="2" t="s">
        <v>32</v>
      </c>
      <c r="L120" s="2" t="s">
        <v>55</v>
      </c>
      <c r="M120">
        <v>720</v>
      </c>
      <c r="N120">
        <v>72</v>
      </c>
      <c r="O120">
        <v>648</v>
      </c>
    </row>
    <row r="121" spans="1:15">
      <c r="A121">
        <v>10120</v>
      </c>
      <c r="B121" s="1">
        <v>45677</v>
      </c>
      <c r="C121" s="2" t="s">
        <v>34</v>
      </c>
      <c r="D121" s="2" t="s">
        <v>61</v>
      </c>
      <c r="E121" s="2" t="s">
        <v>30</v>
      </c>
      <c r="F121" s="2" t="s">
        <v>57</v>
      </c>
      <c r="G121" s="2" t="s">
        <v>19</v>
      </c>
      <c r="H121">
        <v>6</v>
      </c>
      <c r="I121">
        <v>2500</v>
      </c>
      <c r="J121">
        <v>0</v>
      </c>
      <c r="K121" s="2" t="s">
        <v>37</v>
      </c>
      <c r="L121" s="2" t="s">
        <v>58</v>
      </c>
      <c r="M121">
        <v>15000</v>
      </c>
      <c r="N121">
        <v>0</v>
      </c>
      <c r="O121">
        <v>15000</v>
      </c>
    </row>
    <row r="122" spans="1:15">
      <c r="A122">
        <v>10121</v>
      </c>
      <c r="B122" s="1">
        <v>45802</v>
      </c>
      <c r="C122" s="2" t="s">
        <v>15</v>
      </c>
      <c r="D122" s="2" t="s">
        <v>16</v>
      </c>
      <c r="E122" s="2" t="s">
        <v>17</v>
      </c>
      <c r="F122" s="2" t="s">
        <v>18</v>
      </c>
      <c r="G122" s="2" t="s">
        <v>19</v>
      </c>
      <c r="H122">
        <v>3</v>
      </c>
      <c r="I122">
        <v>65000</v>
      </c>
      <c r="J122">
        <v>0.2</v>
      </c>
      <c r="K122" s="2" t="s">
        <v>20</v>
      </c>
      <c r="L122" s="2" t="s">
        <v>60</v>
      </c>
      <c r="M122">
        <v>195000</v>
      </c>
      <c r="N122">
        <v>39000</v>
      </c>
      <c r="O122">
        <v>156000</v>
      </c>
    </row>
    <row r="123" spans="1:15">
      <c r="A123">
        <v>10122</v>
      </c>
      <c r="B123" s="1">
        <v>45754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19</v>
      </c>
      <c r="H123">
        <v>4</v>
      </c>
      <c r="I123">
        <v>12000</v>
      </c>
      <c r="J123">
        <v>0.05</v>
      </c>
      <c r="K123" s="2" t="s">
        <v>26</v>
      </c>
      <c r="L123" s="2" t="s">
        <v>62</v>
      </c>
      <c r="M123">
        <v>48000</v>
      </c>
      <c r="N123">
        <v>2400</v>
      </c>
      <c r="O123">
        <v>45600</v>
      </c>
    </row>
    <row r="124" spans="1:15">
      <c r="A124">
        <v>10123</v>
      </c>
      <c r="B124" s="1">
        <v>45815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19</v>
      </c>
      <c r="H124">
        <v>6</v>
      </c>
      <c r="I124">
        <v>1890</v>
      </c>
      <c r="J124">
        <v>0.15</v>
      </c>
      <c r="K124" s="2" t="s">
        <v>32</v>
      </c>
      <c r="L124" s="2" t="s">
        <v>63</v>
      </c>
      <c r="M124">
        <v>11340</v>
      </c>
      <c r="N124">
        <v>1701</v>
      </c>
      <c r="O124">
        <v>9639</v>
      </c>
    </row>
    <row r="125" spans="1:15">
      <c r="A125">
        <v>10124</v>
      </c>
      <c r="B125" s="1">
        <v>45732</v>
      </c>
      <c r="C125" s="2" t="s">
        <v>34</v>
      </c>
      <c r="D125" s="2" t="s">
        <v>35</v>
      </c>
      <c r="E125" s="2" t="s">
        <v>17</v>
      </c>
      <c r="F125" s="2" t="s">
        <v>36</v>
      </c>
      <c r="G125" s="2" t="s">
        <v>19</v>
      </c>
      <c r="H125">
        <v>6</v>
      </c>
      <c r="I125">
        <v>800</v>
      </c>
      <c r="J125">
        <v>0.15</v>
      </c>
      <c r="K125" s="2" t="s">
        <v>37</v>
      </c>
      <c r="L125" s="2" t="s">
        <v>64</v>
      </c>
      <c r="M125">
        <v>4800</v>
      </c>
      <c r="N125">
        <v>720</v>
      </c>
      <c r="O125">
        <v>4080</v>
      </c>
    </row>
    <row r="126" spans="1:15">
      <c r="A126">
        <v>10125</v>
      </c>
      <c r="B126" s="1">
        <v>45735</v>
      </c>
      <c r="C126" s="2" t="s">
        <v>15</v>
      </c>
      <c r="D126" s="2" t="s">
        <v>39</v>
      </c>
      <c r="E126" s="2" t="s">
        <v>24</v>
      </c>
      <c r="F126" s="2" t="s">
        <v>40</v>
      </c>
      <c r="G126" s="2" t="s">
        <v>41</v>
      </c>
      <c r="H126">
        <v>1</v>
      </c>
      <c r="I126">
        <v>8925</v>
      </c>
      <c r="J126">
        <v>0.05</v>
      </c>
      <c r="K126" s="2" t="s">
        <v>20</v>
      </c>
      <c r="L126" s="2" t="s">
        <v>65</v>
      </c>
      <c r="M126">
        <v>8925</v>
      </c>
      <c r="N126">
        <v>446.25</v>
      </c>
      <c r="O126">
        <v>8478.75</v>
      </c>
    </row>
    <row r="127" spans="1:15">
      <c r="A127">
        <v>10126</v>
      </c>
      <c r="B127" s="1">
        <v>45815</v>
      </c>
      <c r="C127" s="2" t="s">
        <v>22</v>
      </c>
      <c r="D127" s="2" t="s">
        <v>68</v>
      </c>
      <c r="E127" s="2" t="s">
        <v>30</v>
      </c>
      <c r="F127" s="2" t="s">
        <v>44</v>
      </c>
      <c r="G127" s="2" t="s">
        <v>41</v>
      </c>
      <c r="H127">
        <v>1</v>
      </c>
      <c r="I127">
        <v>14700</v>
      </c>
      <c r="J127">
        <v>0.15</v>
      </c>
      <c r="K127" s="2" t="s">
        <v>26</v>
      </c>
      <c r="L127" s="2" t="s">
        <v>66</v>
      </c>
      <c r="M127">
        <v>14700</v>
      </c>
      <c r="N127">
        <v>2205</v>
      </c>
      <c r="O127">
        <v>12495</v>
      </c>
    </row>
    <row r="128" spans="1:15">
      <c r="A128">
        <v>10127</v>
      </c>
      <c r="B128" s="1">
        <v>45702</v>
      </c>
      <c r="C128" s="2" t="s">
        <v>28</v>
      </c>
      <c r="D128" s="2" t="s">
        <v>46</v>
      </c>
      <c r="E128" s="2" t="s">
        <v>17</v>
      </c>
      <c r="F128" s="2" t="s">
        <v>47</v>
      </c>
      <c r="G128" s="2" t="s">
        <v>19</v>
      </c>
      <c r="H128">
        <v>2</v>
      </c>
      <c r="I128">
        <v>11000</v>
      </c>
      <c r="J128">
        <v>0.1</v>
      </c>
      <c r="K128" s="2" t="s">
        <v>32</v>
      </c>
      <c r="L128" s="2" t="s">
        <v>67</v>
      </c>
      <c r="M128">
        <v>22000</v>
      </c>
      <c r="N128">
        <v>2200</v>
      </c>
      <c r="O128">
        <v>19800</v>
      </c>
    </row>
    <row r="129" spans="1:15">
      <c r="A129">
        <v>10128</v>
      </c>
      <c r="B129" s="1">
        <v>45793</v>
      </c>
      <c r="C129" s="2" t="s">
        <v>34</v>
      </c>
      <c r="D129" s="2" t="s">
        <v>49</v>
      </c>
      <c r="E129" s="2" t="s">
        <v>24</v>
      </c>
      <c r="F129" s="2" t="s">
        <v>50</v>
      </c>
      <c r="G129" s="2" t="s">
        <v>51</v>
      </c>
      <c r="H129">
        <v>2</v>
      </c>
      <c r="I129">
        <v>126</v>
      </c>
      <c r="J129">
        <v>0.05</v>
      </c>
      <c r="K129" s="2" t="s">
        <v>37</v>
      </c>
      <c r="L129" s="2" t="s">
        <v>70</v>
      </c>
      <c r="M129">
        <v>252</v>
      </c>
      <c r="N129">
        <v>12.600000000000001</v>
      </c>
      <c r="O129">
        <v>239.4</v>
      </c>
    </row>
    <row r="130" spans="1:15">
      <c r="A130">
        <v>10129</v>
      </c>
      <c r="B130" s="1">
        <v>45677</v>
      </c>
      <c r="C130" s="2" t="s">
        <v>15</v>
      </c>
      <c r="D130" s="2" t="s">
        <v>53</v>
      </c>
      <c r="E130" s="2" t="s">
        <v>30</v>
      </c>
      <c r="F130" s="2" t="s">
        <v>54</v>
      </c>
      <c r="G130" s="2" t="s">
        <v>51</v>
      </c>
      <c r="H130">
        <v>6</v>
      </c>
      <c r="I130">
        <v>189</v>
      </c>
      <c r="J130">
        <v>0.2</v>
      </c>
      <c r="K130" s="2" t="s">
        <v>20</v>
      </c>
      <c r="L130" s="2" t="s">
        <v>71</v>
      </c>
      <c r="M130">
        <v>1134</v>
      </c>
      <c r="N130">
        <v>226.8</v>
      </c>
      <c r="O130">
        <v>907.2</v>
      </c>
    </row>
    <row r="131" spans="1:15">
      <c r="A131">
        <v>10130</v>
      </c>
      <c r="B131" s="1">
        <v>45765</v>
      </c>
      <c r="C131" s="2" t="s">
        <v>22</v>
      </c>
      <c r="D131" s="2" t="s">
        <v>56</v>
      </c>
      <c r="E131" s="2" t="s">
        <v>17</v>
      </c>
      <c r="F131" s="2" t="s">
        <v>57</v>
      </c>
      <c r="G131" s="2" t="s">
        <v>19</v>
      </c>
      <c r="H131">
        <v>7</v>
      </c>
      <c r="I131">
        <v>2500</v>
      </c>
      <c r="J131">
        <v>0</v>
      </c>
      <c r="K131" s="2" t="s">
        <v>26</v>
      </c>
      <c r="L131" s="2" t="s">
        <v>72</v>
      </c>
      <c r="M131">
        <v>17500</v>
      </c>
      <c r="N131">
        <v>0</v>
      </c>
      <c r="O131">
        <v>17500</v>
      </c>
    </row>
    <row r="132" spans="1:15">
      <c r="A132">
        <v>10131</v>
      </c>
      <c r="B132" s="1">
        <v>45807</v>
      </c>
      <c r="C132" s="2" t="s">
        <v>28</v>
      </c>
      <c r="D132" s="2" t="s">
        <v>59</v>
      </c>
      <c r="E132" s="2" t="s">
        <v>24</v>
      </c>
      <c r="F132" s="2" t="s">
        <v>18</v>
      </c>
      <c r="G132" s="2" t="s">
        <v>19</v>
      </c>
      <c r="H132">
        <v>3</v>
      </c>
      <c r="I132">
        <v>61750</v>
      </c>
      <c r="J132">
        <v>0</v>
      </c>
      <c r="K132" s="2" t="s">
        <v>32</v>
      </c>
      <c r="L132" s="2" t="s">
        <v>73</v>
      </c>
      <c r="M132">
        <v>185250</v>
      </c>
      <c r="N132">
        <v>0</v>
      </c>
      <c r="O132">
        <v>-500</v>
      </c>
    </row>
    <row r="133" spans="1:15">
      <c r="A133">
        <v>10132</v>
      </c>
      <c r="B133" s="1">
        <v>45684</v>
      </c>
      <c r="C133" s="2" t="s">
        <v>34</v>
      </c>
      <c r="D133" s="2" t="s">
        <v>61</v>
      </c>
      <c r="E133" s="2" t="s">
        <v>30</v>
      </c>
      <c r="F133" s="2" t="s">
        <v>25</v>
      </c>
      <c r="G133" s="2" t="s">
        <v>19</v>
      </c>
      <c r="H133">
        <v>3</v>
      </c>
      <c r="I133">
        <v>12600</v>
      </c>
      <c r="J133">
        <v>0.05</v>
      </c>
      <c r="K133" s="2" t="s">
        <v>37</v>
      </c>
      <c r="L133" s="2" t="s">
        <v>74</v>
      </c>
      <c r="M133">
        <v>37800</v>
      </c>
      <c r="N133">
        <v>1890</v>
      </c>
      <c r="O133">
        <v>35910</v>
      </c>
    </row>
    <row r="134" spans="1:15">
      <c r="A134">
        <v>10133</v>
      </c>
      <c r="B134" s="1">
        <v>45687</v>
      </c>
      <c r="C134" s="2" t="s">
        <v>15</v>
      </c>
      <c r="D134" s="2" t="s">
        <v>16</v>
      </c>
      <c r="E134" s="2" t="s">
        <v>17</v>
      </c>
      <c r="F134" s="2" t="s">
        <v>31</v>
      </c>
      <c r="G134" s="2" t="s">
        <v>19</v>
      </c>
      <c r="H134">
        <v>7</v>
      </c>
      <c r="I134">
        <v>1800</v>
      </c>
      <c r="J134">
        <v>0.2</v>
      </c>
      <c r="K134" s="2" t="s">
        <v>20</v>
      </c>
      <c r="L134" s="2" t="s">
        <v>75</v>
      </c>
      <c r="M134">
        <v>12600</v>
      </c>
      <c r="N134">
        <v>2520</v>
      </c>
      <c r="O134">
        <v>10080</v>
      </c>
    </row>
    <row r="135" spans="1:15">
      <c r="A135">
        <v>10134</v>
      </c>
      <c r="B135" s="1">
        <v>45685</v>
      </c>
      <c r="C135" s="2" t="s">
        <v>22</v>
      </c>
      <c r="D135" s="2" t="s">
        <v>23</v>
      </c>
      <c r="E135" s="2" t="s">
        <v>24</v>
      </c>
      <c r="F135" s="2" t="s">
        <v>36</v>
      </c>
      <c r="G135" s="2" t="s">
        <v>19</v>
      </c>
      <c r="H135">
        <v>2</v>
      </c>
      <c r="I135">
        <v>800</v>
      </c>
      <c r="J135">
        <v>0.05</v>
      </c>
      <c r="K135" s="2" t="s">
        <v>26</v>
      </c>
      <c r="L135" s="2" t="s">
        <v>76</v>
      </c>
      <c r="M135">
        <v>1600</v>
      </c>
      <c r="N135">
        <v>80</v>
      </c>
      <c r="O135">
        <v>1520</v>
      </c>
    </row>
    <row r="136" spans="1:15">
      <c r="A136">
        <v>10135</v>
      </c>
      <c r="B136" s="1">
        <v>45661</v>
      </c>
      <c r="C136" s="2" t="s">
        <v>28</v>
      </c>
      <c r="D136" s="2" t="s">
        <v>29</v>
      </c>
      <c r="E136" s="2" t="s">
        <v>30</v>
      </c>
      <c r="F136" s="2" t="s">
        <v>40</v>
      </c>
      <c r="G136" s="2" t="s">
        <v>41</v>
      </c>
      <c r="H136">
        <v>4</v>
      </c>
      <c r="I136">
        <v>8500</v>
      </c>
      <c r="J136">
        <v>0</v>
      </c>
      <c r="K136" s="2" t="s">
        <v>32</v>
      </c>
      <c r="L136" s="2" t="s">
        <v>77</v>
      </c>
      <c r="M136">
        <v>34000</v>
      </c>
      <c r="N136">
        <v>0</v>
      </c>
      <c r="O136">
        <v>34000</v>
      </c>
    </row>
    <row r="137" spans="1:15">
      <c r="A137">
        <v>10136</v>
      </c>
      <c r="B137" s="1">
        <v>45689</v>
      </c>
      <c r="C137" s="2" t="s">
        <v>34</v>
      </c>
      <c r="D137" s="2" t="s">
        <v>35</v>
      </c>
      <c r="E137" s="2" t="s">
        <v>17</v>
      </c>
      <c r="F137" s="2" t="s">
        <v>44</v>
      </c>
      <c r="G137" s="2" t="s">
        <v>41</v>
      </c>
      <c r="H137">
        <v>5</v>
      </c>
      <c r="I137">
        <v>13300</v>
      </c>
      <c r="J137">
        <v>0</v>
      </c>
      <c r="K137" s="2" t="s">
        <v>37</v>
      </c>
      <c r="L137" s="2" t="s">
        <v>78</v>
      </c>
      <c r="M137">
        <v>66500</v>
      </c>
      <c r="N137">
        <v>0</v>
      </c>
      <c r="O137">
        <v>66500</v>
      </c>
    </row>
    <row r="138" spans="1:15">
      <c r="A138">
        <v>10137</v>
      </c>
      <c r="B138" s="1">
        <v>45764</v>
      </c>
      <c r="C138" s="2" t="s">
        <v>15</v>
      </c>
      <c r="D138" s="2" t="s">
        <v>39</v>
      </c>
      <c r="E138" s="2" t="s">
        <v>24</v>
      </c>
      <c r="F138" s="2" t="s">
        <v>47</v>
      </c>
      <c r="G138" s="2" t="s">
        <v>19</v>
      </c>
      <c r="H138">
        <v>6</v>
      </c>
      <c r="I138">
        <v>11000</v>
      </c>
      <c r="J138">
        <v>0</v>
      </c>
      <c r="K138" s="2" t="s">
        <v>20</v>
      </c>
      <c r="L138" s="2" t="s">
        <v>79</v>
      </c>
      <c r="M138">
        <v>66000</v>
      </c>
      <c r="N138">
        <v>0</v>
      </c>
      <c r="O138">
        <v>66000</v>
      </c>
    </row>
    <row r="139" spans="1:15">
      <c r="A139">
        <v>10138</v>
      </c>
      <c r="B139" s="1">
        <v>45729</v>
      </c>
      <c r="C139" s="2" t="s">
        <v>22</v>
      </c>
      <c r="D139" s="2" t="s">
        <v>68</v>
      </c>
      <c r="E139" s="2" t="s">
        <v>30</v>
      </c>
      <c r="F139" s="2" t="s">
        <v>50</v>
      </c>
      <c r="G139" s="2" t="s">
        <v>51</v>
      </c>
      <c r="H139">
        <v>4</v>
      </c>
      <c r="I139">
        <v>126</v>
      </c>
      <c r="J139">
        <v>0.15</v>
      </c>
      <c r="K139" s="2" t="s">
        <v>26</v>
      </c>
      <c r="L139" s="2" t="s">
        <v>80</v>
      </c>
      <c r="M139">
        <v>504</v>
      </c>
      <c r="N139">
        <v>75.599999999999994</v>
      </c>
      <c r="O139">
        <v>428.4</v>
      </c>
    </row>
    <row r="140" spans="1:15">
      <c r="A140">
        <v>10139</v>
      </c>
      <c r="B140" s="1">
        <v>45749</v>
      </c>
      <c r="C140" s="2" t="s">
        <v>28</v>
      </c>
      <c r="D140" s="2" t="s">
        <v>46</v>
      </c>
      <c r="E140" s="2" t="s">
        <v>17</v>
      </c>
      <c r="F140" s="2" t="s">
        <v>54</v>
      </c>
      <c r="G140" s="2" t="s">
        <v>51</v>
      </c>
      <c r="H140">
        <v>6</v>
      </c>
      <c r="I140">
        <v>189</v>
      </c>
      <c r="J140">
        <v>0.05</v>
      </c>
      <c r="K140" s="2" t="s">
        <v>32</v>
      </c>
      <c r="L140" s="2" t="s">
        <v>81</v>
      </c>
      <c r="M140">
        <v>1134</v>
      </c>
      <c r="N140">
        <v>56.7</v>
      </c>
      <c r="O140">
        <v>1077.3</v>
      </c>
    </row>
    <row r="141" spans="1:15">
      <c r="A141">
        <v>10140</v>
      </c>
      <c r="B141" s="1">
        <v>45812</v>
      </c>
      <c r="C141" s="2" t="s">
        <v>34</v>
      </c>
      <c r="D141" s="2" t="s">
        <v>49</v>
      </c>
      <c r="E141" s="2" t="s">
        <v>24</v>
      </c>
      <c r="F141" s="2" t="s">
        <v>57</v>
      </c>
      <c r="G141" s="2" t="s">
        <v>19</v>
      </c>
      <c r="H141">
        <v>6</v>
      </c>
      <c r="I141">
        <v>2625</v>
      </c>
      <c r="J141">
        <v>0.2</v>
      </c>
      <c r="K141" s="2" t="s">
        <v>37</v>
      </c>
      <c r="L141" s="2" t="s">
        <v>82</v>
      </c>
      <c r="M141">
        <v>15750</v>
      </c>
      <c r="N141">
        <v>3150</v>
      </c>
      <c r="O141">
        <v>12600</v>
      </c>
    </row>
    <row r="142" spans="1:15">
      <c r="A142">
        <v>10141</v>
      </c>
      <c r="B142" s="1">
        <v>45690</v>
      </c>
      <c r="C142" s="2" t="s">
        <v>15</v>
      </c>
      <c r="D142" s="2" t="s">
        <v>53</v>
      </c>
      <c r="E142" s="2" t="s">
        <v>30</v>
      </c>
      <c r="F142" s="2" t="s">
        <v>18</v>
      </c>
      <c r="G142" s="2" t="s">
        <v>19</v>
      </c>
      <c r="H142">
        <v>4</v>
      </c>
      <c r="I142">
        <v>65000</v>
      </c>
      <c r="J142">
        <v>0</v>
      </c>
      <c r="K142" s="2" t="s">
        <v>20</v>
      </c>
      <c r="L142" s="2" t="s">
        <v>83</v>
      </c>
      <c r="M142">
        <v>260000</v>
      </c>
      <c r="N142">
        <v>0</v>
      </c>
      <c r="O142">
        <v>260000</v>
      </c>
    </row>
    <row r="143" spans="1:15">
      <c r="A143">
        <v>10142</v>
      </c>
      <c r="B143" s="1">
        <v>45703</v>
      </c>
      <c r="C143" s="2" t="s">
        <v>22</v>
      </c>
      <c r="D143" s="2" t="s">
        <v>56</v>
      </c>
      <c r="E143" s="2" t="s">
        <v>17</v>
      </c>
      <c r="F143" s="2" t="s">
        <v>25</v>
      </c>
      <c r="G143" s="2" t="s">
        <v>19</v>
      </c>
      <c r="H143">
        <v>7</v>
      </c>
      <c r="I143">
        <v>11400</v>
      </c>
      <c r="J143">
        <v>0.05</v>
      </c>
      <c r="K143" s="2" t="s">
        <v>26</v>
      </c>
      <c r="L143" s="2" t="s">
        <v>84</v>
      </c>
      <c r="M143">
        <v>79800</v>
      </c>
      <c r="N143">
        <v>3990</v>
      </c>
      <c r="O143">
        <v>75810</v>
      </c>
    </row>
    <row r="144" spans="1:15">
      <c r="A144">
        <v>10143</v>
      </c>
      <c r="B144" s="1">
        <v>45733</v>
      </c>
      <c r="C144" s="2" t="s">
        <v>28</v>
      </c>
      <c r="D144" s="2" t="s">
        <v>59</v>
      </c>
      <c r="E144" s="2" t="s">
        <v>24</v>
      </c>
      <c r="F144" s="2" t="s">
        <v>31</v>
      </c>
      <c r="G144" s="2" t="s">
        <v>19</v>
      </c>
      <c r="H144">
        <v>5</v>
      </c>
      <c r="I144">
        <v>1890</v>
      </c>
      <c r="J144">
        <v>0.1</v>
      </c>
      <c r="K144" s="2" t="s">
        <v>32</v>
      </c>
      <c r="L144" s="2" t="s">
        <v>85</v>
      </c>
      <c r="M144">
        <v>9450</v>
      </c>
      <c r="N144">
        <v>945</v>
      </c>
      <c r="O144">
        <v>8505</v>
      </c>
    </row>
    <row r="145" spans="1:15">
      <c r="A145">
        <v>10144</v>
      </c>
      <c r="B145" s="1">
        <v>45725</v>
      </c>
      <c r="C145" s="2" t="s">
        <v>34</v>
      </c>
      <c r="D145" s="2" t="s">
        <v>61</v>
      </c>
      <c r="E145" s="2" t="s">
        <v>30</v>
      </c>
      <c r="F145" s="2" t="s">
        <v>36</v>
      </c>
      <c r="G145" s="2" t="s">
        <v>19</v>
      </c>
      <c r="H145">
        <v>2</v>
      </c>
      <c r="I145">
        <v>760</v>
      </c>
      <c r="J145">
        <v>0</v>
      </c>
      <c r="K145" s="2" t="s">
        <v>37</v>
      </c>
      <c r="L145" s="2" t="s">
        <v>86</v>
      </c>
      <c r="M145">
        <v>1520</v>
      </c>
      <c r="N145">
        <v>0</v>
      </c>
      <c r="O145">
        <v>1520</v>
      </c>
    </row>
    <row r="146" spans="1:15">
      <c r="A146">
        <v>10145</v>
      </c>
      <c r="B146" s="1">
        <v>45676</v>
      </c>
      <c r="C146" s="2" t="s">
        <v>15</v>
      </c>
      <c r="D146" s="2" t="s">
        <v>16</v>
      </c>
      <c r="E146" s="2" t="s">
        <v>17</v>
      </c>
      <c r="F146" s="2" t="s">
        <v>40</v>
      </c>
      <c r="G146" s="2" t="s">
        <v>41</v>
      </c>
      <c r="H146">
        <v>7</v>
      </c>
      <c r="I146">
        <v>8925</v>
      </c>
      <c r="J146">
        <v>0.1</v>
      </c>
      <c r="K146" s="2" t="s">
        <v>20</v>
      </c>
      <c r="L146" s="2" t="s">
        <v>87</v>
      </c>
      <c r="M146">
        <v>62475</v>
      </c>
      <c r="N146">
        <v>6247.5</v>
      </c>
      <c r="O146">
        <v>56227.5</v>
      </c>
    </row>
    <row r="147" spans="1:15">
      <c r="A147">
        <v>10146</v>
      </c>
      <c r="B147" s="1">
        <v>45667</v>
      </c>
      <c r="C147" s="2" t="s">
        <v>22</v>
      </c>
      <c r="D147" s="2" t="s">
        <v>23</v>
      </c>
      <c r="E147" s="2" t="s">
        <v>24</v>
      </c>
      <c r="F147" s="2" t="s">
        <v>44</v>
      </c>
      <c r="G147" s="2" t="s">
        <v>41</v>
      </c>
      <c r="H147">
        <v>1</v>
      </c>
      <c r="I147">
        <v>13300</v>
      </c>
      <c r="J147">
        <v>0.2</v>
      </c>
      <c r="K147" s="2" t="s">
        <v>26</v>
      </c>
      <c r="L147" s="2" t="s">
        <v>88</v>
      </c>
      <c r="M147">
        <v>13300</v>
      </c>
      <c r="N147">
        <v>2660</v>
      </c>
      <c r="O147">
        <v>10640</v>
      </c>
    </row>
    <row r="148" spans="1:15">
      <c r="A148">
        <v>10147</v>
      </c>
      <c r="B148" s="1">
        <v>45675</v>
      </c>
      <c r="C148" s="2" t="s">
        <v>28</v>
      </c>
      <c r="D148" s="2" t="s">
        <v>29</v>
      </c>
      <c r="E148" s="2" t="s">
        <v>30</v>
      </c>
      <c r="F148" s="2" t="s">
        <v>47</v>
      </c>
      <c r="G148" s="2" t="s">
        <v>19</v>
      </c>
      <c r="H148">
        <v>3</v>
      </c>
      <c r="I148">
        <v>11000</v>
      </c>
      <c r="J148">
        <v>0.2</v>
      </c>
      <c r="K148" s="2" t="s">
        <v>32</v>
      </c>
      <c r="L148" s="2" t="s">
        <v>89</v>
      </c>
      <c r="M148">
        <v>33000</v>
      </c>
      <c r="N148">
        <v>6600</v>
      </c>
      <c r="O148">
        <v>26400</v>
      </c>
    </row>
    <row r="149" spans="1:15">
      <c r="A149">
        <v>10148</v>
      </c>
      <c r="B149" s="1">
        <v>45821</v>
      </c>
      <c r="C149" s="2" t="s">
        <v>34</v>
      </c>
      <c r="D149" s="2" t="s">
        <v>35</v>
      </c>
      <c r="E149" s="2" t="s">
        <v>17</v>
      </c>
      <c r="F149" s="2" t="s">
        <v>50</v>
      </c>
      <c r="G149" s="2" t="s">
        <v>51</v>
      </c>
      <c r="H149">
        <v>6</v>
      </c>
      <c r="I149">
        <v>126</v>
      </c>
      <c r="J149">
        <v>0.2</v>
      </c>
      <c r="K149" s="2" t="s">
        <v>37</v>
      </c>
      <c r="L149" s="2" t="s">
        <v>90</v>
      </c>
      <c r="M149">
        <v>756</v>
      </c>
      <c r="N149">
        <v>151.20000000000002</v>
      </c>
      <c r="O149">
        <v>604.79999999999995</v>
      </c>
    </row>
    <row r="150" spans="1:15">
      <c r="A150">
        <v>10149</v>
      </c>
      <c r="B150" s="1">
        <v>45803</v>
      </c>
      <c r="C150" s="2" t="s">
        <v>15</v>
      </c>
      <c r="D150" s="2" t="s">
        <v>39</v>
      </c>
      <c r="E150" s="2" t="s">
        <v>24</v>
      </c>
      <c r="F150" s="2" t="s">
        <v>54</v>
      </c>
      <c r="G150" s="2" t="s">
        <v>51</v>
      </c>
      <c r="H150">
        <v>2</v>
      </c>
      <c r="I150">
        <v>180</v>
      </c>
      <c r="J150">
        <v>0.2</v>
      </c>
      <c r="K150" s="2" t="s">
        <v>20</v>
      </c>
      <c r="L150" s="2" t="s">
        <v>91</v>
      </c>
      <c r="M150">
        <v>360</v>
      </c>
      <c r="N150">
        <v>72</v>
      </c>
      <c r="O150">
        <v>288</v>
      </c>
    </row>
    <row r="151" spans="1:15">
      <c r="A151">
        <v>10150</v>
      </c>
      <c r="B151" s="1">
        <v>45774</v>
      </c>
      <c r="C151" s="2" t="s">
        <v>22</v>
      </c>
      <c r="D151" s="2" t="s">
        <v>68</v>
      </c>
      <c r="E151" s="2" t="s">
        <v>30</v>
      </c>
      <c r="F151" s="2" t="s">
        <v>57</v>
      </c>
      <c r="G151" s="2" t="s">
        <v>19</v>
      </c>
      <c r="H151">
        <v>5</v>
      </c>
      <c r="I151">
        <v>2500</v>
      </c>
      <c r="J151">
        <v>0.15</v>
      </c>
      <c r="K151" s="2" t="s">
        <v>26</v>
      </c>
      <c r="L151" s="2" t="s">
        <v>92</v>
      </c>
      <c r="M151">
        <v>12500</v>
      </c>
      <c r="N151">
        <v>1875</v>
      </c>
      <c r="O151">
        <v>10625</v>
      </c>
    </row>
    <row r="152" spans="1:15">
      <c r="A152">
        <v>10151</v>
      </c>
      <c r="B152" s="1">
        <v>45682</v>
      </c>
      <c r="C152" s="2" t="s">
        <v>28</v>
      </c>
      <c r="D152" s="2" t="s">
        <v>46</v>
      </c>
      <c r="E152" s="2" t="s">
        <v>17</v>
      </c>
      <c r="F152" s="2" t="s">
        <v>18</v>
      </c>
      <c r="G152" s="2" t="s">
        <v>19</v>
      </c>
      <c r="H152">
        <v>5</v>
      </c>
      <c r="I152">
        <v>65000</v>
      </c>
      <c r="J152">
        <v>0.15</v>
      </c>
      <c r="K152" s="2" t="s">
        <v>32</v>
      </c>
      <c r="L152" s="2" t="s">
        <v>93</v>
      </c>
      <c r="M152">
        <v>325000</v>
      </c>
      <c r="N152">
        <v>48750</v>
      </c>
      <c r="O152">
        <v>276250</v>
      </c>
    </row>
    <row r="153" spans="1:15">
      <c r="A153">
        <v>10152</v>
      </c>
      <c r="B153" s="1">
        <v>45751</v>
      </c>
      <c r="C153" s="2" t="s">
        <v>34</v>
      </c>
      <c r="D153" s="2" t="s">
        <v>49</v>
      </c>
      <c r="E153" s="2" t="s">
        <v>24</v>
      </c>
      <c r="F153" s="2" t="s">
        <v>25</v>
      </c>
      <c r="G153" s="2" t="s">
        <v>19</v>
      </c>
      <c r="H153">
        <v>6</v>
      </c>
      <c r="I153">
        <v>12000</v>
      </c>
      <c r="J153">
        <v>0.1</v>
      </c>
      <c r="K153" s="2" t="s">
        <v>37</v>
      </c>
      <c r="L153" s="2" t="s">
        <v>94</v>
      </c>
      <c r="M153">
        <v>72000</v>
      </c>
      <c r="N153">
        <v>7200</v>
      </c>
      <c r="O153">
        <v>64800</v>
      </c>
    </row>
    <row r="154" spans="1:15">
      <c r="A154">
        <v>10153</v>
      </c>
      <c r="B154" s="1">
        <v>45741</v>
      </c>
      <c r="C154" s="2" t="s">
        <v>15</v>
      </c>
      <c r="D154" s="2" t="s">
        <v>53</v>
      </c>
      <c r="E154" s="2" t="s">
        <v>30</v>
      </c>
      <c r="F154" s="2" t="s">
        <v>31</v>
      </c>
      <c r="G154" s="2" t="s">
        <v>19</v>
      </c>
      <c r="H154">
        <v>7</v>
      </c>
      <c r="I154">
        <v>1890</v>
      </c>
      <c r="J154">
        <v>0.2</v>
      </c>
      <c r="K154" s="2" t="s">
        <v>20</v>
      </c>
      <c r="L154" s="2" t="s">
        <v>95</v>
      </c>
      <c r="M154">
        <v>13230</v>
      </c>
      <c r="N154">
        <v>2646</v>
      </c>
      <c r="O154">
        <v>10584</v>
      </c>
    </row>
    <row r="155" spans="1:15">
      <c r="A155">
        <v>10154</v>
      </c>
      <c r="B155" s="1">
        <v>45773</v>
      </c>
      <c r="C155" s="2" t="s">
        <v>22</v>
      </c>
      <c r="D155" s="2" t="s">
        <v>56</v>
      </c>
      <c r="E155" s="2" t="s">
        <v>17</v>
      </c>
      <c r="F155" s="2" t="s">
        <v>36</v>
      </c>
      <c r="G155" s="2" t="s">
        <v>19</v>
      </c>
      <c r="H155">
        <v>6</v>
      </c>
      <c r="I155">
        <v>800</v>
      </c>
      <c r="J155">
        <v>0.05</v>
      </c>
      <c r="K155" s="2" t="s">
        <v>26</v>
      </c>
      <c r="L155" s="2" t="s">
        <v>96</v>
      </c>
      <c r="M155">
        <v>4800</v>
      </c>
      <c r="N155">
        <v>240</v>
      </c>
      <c r="O155">
        <v>4560</v>
      </c>
    </row>
    <row r="156" spans="1:15">
      <c r="A156">
        <v>10155</v>
      </c>
      <c r="B156" s="1">
        <v>45683</v>
      </c>
      <c r="C156" s="2" t="s">
        <v>28</v>
      </c>
      <c r="D156" s="2" t="s">
        <v>59</v>
      </c>
      <c r="E156" s="2" t="s">
        <v>24</v>
      </c>
      <c r="F156" s="2" t="s">
        <v>40</v>
      </c>
      <c r="G156" s="2" t="s">
        <v>41</v>
      </c>
      <c r="H156">
        <v>2</v>
      </c>
      <c r="I156">
        <v>8075</v>
      </c>
      <c r="J156">
        <v>0.05</v>
      </c>
      <c r="K156" s="2" t="s">
        <v>32</v>
      </c>
      <c r="L156" s="2" t="s">
        <v>97</v>
      </c>
      <c r="M156">
        <v>16150</v>
      </c>
      <c r="N156">
        <v>807.5</v>
      </c>
      <c r="O156">
        <v>15342.5</v>
      </c>
    </row>
    <row r="157" spans="1:15">
      <c r="A157">
        <v>10156</v>
      </c>
      <c r="B157" s="1">
        <v>45733</v>
      </c>
      <c r="C157" s="2" t="s">
        <v>34</v>
      </c>
      <c r="D157" s="2" t="s">
        <v>61</v>
      </c>
      <c r="E157" s="2" t="s">
        <v>30</v>
      </c>
      <c r="F157" s="2" t="s">
        <v>44</v>
      </c>
      <c r="G157" s="2" t="s">
        <v>41</v>
      </c>
      <c r="H157">
        <v>4</v>
      </c>
      <c r="I157">
        <v>13300</v>
      </c>
      <c r="J157">
        <v>0.1</v>
      </c>
      <c r="K157" s="2" t="s">
        <v>37</v>
      </c>
      <c r="L157" s="2" t="s">
        <v>98</v>
      </c>
      <c r="M157">
        <v>53200</v>
      </c>
      <c r="N157">
        <v>5320</v>
      </c>
      <c r="O157">
        <v>47880</v>
      </c>
    </row>
    <row r="158" spans="1:15">
      <c r="A158">
        <v>10157</v>
      </c>
      <c r="B158" s="1">
        <v>45724</v>
      </c>
      <c r="C158" s="2" t="s">
        <v>15</v>
      </c>
      <c r="D158" s="2" t="s">
        <v>16</v>
      </c>
      <c r="E158" s="2" t="s">
        <v>17</v>
      </c>
      <c r="F158" s="2" t="s">
        <v>47</v>
      </c>
      <c r="G158" s="2" t="s">
        <v>19</v>
      </c>
      <c r="H158">
        <v>5</v>
      </c>
      <c r="I158">
        <v>11000</v>
      </c>
      <c r="J158">
        <v>0.05</v>
      </c>
      <c r="K158" s="2" t="s">
        <v>20</v>
      </c>
      <c r="L158" s="2" t="s">
        <v>99</v>
      </c>
      <c r="M158">
        <v>55000</v>
      </c>
      <c r="N158">
        <v>2750</v>
      </c>
      <c r="O158">
        <v>52250</v>
      </c>
    </row>
    <row r="159" spans="1:15">
      <c r="A159">
        <v>10158</v>
      </c>
      <c r="B159" s="1">
        <v>45717</v>
      </c>
      <c r="C159" s="2" t="s">
        <v>22</v>
      </c>
      <c r="D159" s="2" t="s">
        <v>23</v>
      </c>
      <c r="E159" s="2" t="s">
        <v>24</v>
      </c>
      <c r="F159" s="2" t="s">
        <v>50</v>
      </c>
      <c r="G159" s="2" t="s">
        <v>51</v>
      </c>
      <c r="H159">
        <v>4</v>
      </c>
      <c r="I159">
        <v>120</v>
      </c>
      <c r="J159">
        <v>0.05</v>
      </c>
      <c r="K159" s="2" t="s">
        <v>26</v>
      </c>
      <c r="L159" s="2" t="s">
        <v>100</v>
      </c>
      <c r="M159">
        <v>480</v>
      </c>
      <c r="N159">
        <v>24</v>
      </c>
      <c r="O159">
        <v>456</v>
      </c>
    </row>
    <row r="160" spans="1:15">
      <c r="A160">
        <v>10159</v>
      </c>
      <c r="B160" s="1">
        <v>45782</v>
      </c>
      <c r="C160" s="2" t="s">
        <v>28</v>
      </c>
      <c r="D160" s="2" t="s">
        <v>29</v>
      </c>
      <c r="E160" s="2" t="s">
        <v>30</v>
      </c>
      <c r="F160" s="2" t="s">
        <v>54</v>
      </c>
      <c r="G160" s="2" t="s">
        <v>51</v>
      </c>
      <c r="H160">
        <v>4</v>
      </c>
      <c r="I160">
        <v>171</v>
      </c>
      <c r="J160">
        <v>0.05</v>
      </c>
      <c r="K160" s="2" t="s">
        <v>32</v>
      </c>
      <c r="L160" s="2" t="s">
        <v>101</v>
      </c>
      <c r="M160">
        <v>684</v>
      </c>
      <c r="N160">
        <v>34.200000000000003</v>
      </c>
      <c r="O160">
        <v>649.79999999999995</v>
      </c>
    </row>
    <row r="161" spans="1:15">
      <c r="A161">
        <v>10160</v>
      </c>
      <c r="B161" s="1">
        <v>45829</v>
      </c>
      <c r="C161" s="2" t="s">
        <v>34</v>
      </c>
      <c r="D161" s="2" t="s">
        <v>35</v>
      </c>
      <c r="E161" s="2" t="s">
        <v>17</v>
      </c>
      <c r="F161" s="2" t="s">
        <v>57</v>
      </c>
      <c r="G161" s="2" t="s">
        <v>19</v>
      </c>
      <c r="H161">
        <v>2</v>
      </c>
      <c r="I161">
        <v>2625</v>
      </c>
      <c r="J161">
        <v>0.05</v>
      </c>
      <c r="K161" s="2" t="s">
        <v>37</v>
      </c>
      <c r="L161" s="2" t="s">
        <v>102</v>
      </c>
      <c r="M161">
        <v>5250</v>
      </c>
      <c r="N161">
        <v>262.5</v>
      </c>
      <c r="O161">
        <v>4987.5</v>
      </c>
    </row>
    <row r="162" spans="1:15">
      <c r="A162">
        <v>10161</v>
      </c>
      <c r="B162" s="1">
        <v>45745</v>
      </c>
      <c r="C162" s="2" t="s">
        <v>15</v>
      </c>
      <c r="D162" s="2" t="s">
        <v>39</v>
      </c>
      <c r="E162" s="2" t="s">
        <v>24</v>
      </c>
      <c r="F162" s="2" t="s">
        <v>18</v>
      </c>
      <c r="G162" s="2" t="s">
        <v>19</v>
      </c>
      <c r="H162">
        <v>5</v>
      </c>
      <c r="I162">
        <v>68250</v>
      </c>
      <c r="J162">
        <v>0.2</v>
      </c>
      <c r="K162" s="2" t="s">
        <v>20</v>
      </c>
      <c r="L162" s="2" t="s">
        <v>103</v>
      </c>
      <c r="M162">
        <v>341250</v>
      </c>
      <c r="N162">
        <v>68250</v>
      </c>
      <c r="O162">
        <v>273000</v>
      </c>
    </row>
    <row r="163" spans="1:15">
      <c r="A163">
        <v>10162</v>
      </c>
      <c r="B163" s="1">
        <v>45754</v>
      </c>
      <c r="C163" s="2" t="s">
        <v>22</v>
      </c>
      <c r="D163" s="2" t="s">
        <v>68</v>
      </c>
      <c r="E163" s="2" t="s">
        <v>30</v>
      </c>
      <c r="F163" s="2" t="s">
        <v>25</v>
      </c>
      <c r="G163" s="2" t="s">
        <v>19</v>
      </c>
      <c r="H163">
        <v>6</v>
      </c>
      <c r="I163">
        <v>12000</v>
      </c>
      <c r="J163">
        <v>0.05</v>
      </c>
      <c r="K163" s="2" t="s">
        <v>26</v>
      </c>
      <c r="L163" s="2" t="s">
        <v>104</v>
      </c>
      <c r="M163">
        <v>72000</v>
      </c>
      <c r="N163">
        <v>3600</v>
      </c>
      <c r="O163">
        <v>68400</v>
      </c>
    </row>
    <row r="164" spans="1:15">
      <c r="A164">
        <v>10163</v>
      </c>
      <c r="B164" s="1">
        <v>45776</v>
      </c>
      <c r="C164" s="2" t="s">
        <v>28</v>
      </c>
      <c r="D164" s="2" t="s">
        <v>46</v>
      </c>
      <c r="E164" s="2" t="s">
        <v>17</v>
      </c>
      <c r="F164" s="2" t="s">
        <v>31</v>
      </c>
      <c r="G164" s="2" t="s">
        <v>19</v>
      </c>
      <c r="H164">
        <v>7</v>
      </c>
      <c r="I164">
        <v>1800</v>
      </c>
      <c r="J164">
        <v>0.2</v>
      </c>
      <c r="K164" s="2" t="s">
        <v>32</v>
      </c>
      <c r="L164" s="2" t="s">
        <v>105</v>
      </c>
      <c r="M164">
        <v>12600</v>
      </c>
      <c r="N164">
        <v>2520</v>
      </c>
      <c r="O164">
        <v>10080</v>
      </c>
    </row>
    <row r="165" spans="1:15">
      <c r="A165">
        <v>10164</v>
      </c>
      <c r="B165" s="1">
        <v>45754</v>
      </c>
      <c r="C165" s="2" t="s">
        <v>34</v>
      </c>
      <c r="D165" s="2" t="s">
        <v>49</v>
      </c>
      <c r="E165" s="2" t="s">
        <v>24</v>
      </c>
      <c r="F165" s="2" t="s">
        <v>36</v>
      </c>
      <c r="G165" s="2" t="s">
        <v>19</v>
      </c>
      <c r="H165">
        <v>2</v>
      </c>
      <c r="I165">
        <v>800</v>
      </c>
      <c r="J165">
        <v>0.2</v>
      </c>
      <c r="K165" s="2" t="s">
        <v>37</v>
      </c>
      <c r="L165" s="2" t="s">
        <v>106</v>
      </c>
      <c r="M165">
        <v>1600</v>
      </c>
      <c r="N165">
        <v>320</v>
      </c>
      <c r="O165">
        <v>1280</v>
      </c>
    </row>
    <row r="166" spans="1:15">
      <c r="A166">
        <v>10165</v>
      </c>
      <c r="B166" s="1">
        <v>45710</v>
      </c>
      <c r="C166" s="2" t="s">
        <v>15</v>
      </c>
      <c r="D166" s="2" t="s">
        <v>53</v>
      </c>
      <c r="E166" s="2" t="s">
        <v>30</v>
      </c>
      <c r="F166" s="2" t="s">
        <v>40</v>
      </c>
      <c r="G166" s="2" t="s">
        <v>41</v>
      </c>
      <c r="H166">
        <v>6</v>
      </c>
      <c r="I166">
        <v>8075</v>
      </c>
      <c r="J166">
        <v>0.15</v>
      </c>
      <c r="K166" s="2" t="s">
        <v>20</v>
      </c>
      <c r="L166" s="2" t="s">
        <v>107</v>
      </c>
      <c r="M166">
        <v>48450</v>
      </c>
      <c r="N166">
        <v>7267.5</v>
      </c>
      <c r="O166">
        <v>41182.5</v>
      </c>
    </row>
    <row r="167" spans="1:15">
      <c r="A167">
        <v>10166</v>
      </c>
      <c r="B167" s="1">
        <v>45694</v>
      </c>
      <c r="C167" s="2" t="s">
        <v>22</v>
      </c>
      <c r="D167" s="2" t="s">
        <v>56</v>
      </c>
      <c r="E167" s="2" t="s">
        <v>17</v>
      </c>
      <c r="F167" s="2" t="s">
        <v>44</v>
      </c>
      <c r="G167" s="2" t="s">
        <v>41</v>
      </c>
      <c r="H167">
        <v>2</v>
      </c>
      <c r="I167">
        <v>13300</v>
      </c>
      <c r="J167">
        <v>0.15</v>
      </c>
      <c r="K167" s="2" t="s">
        <v>26</v>
      </c>
      <c r="L167" s="2" t="s">
        <v>21</v>
      </c>
      <c r="M167">
        <v>26600</v>
      </c>
      <c r="N167">
        <v>3990</v>
      </c>
      <c r="O167">
        <v>22610</v>
      </c>
    </row>
    <row r="168" spans="1:15">
      <c r="A168">
        <v>10167</v>
      </c>
      <c r="B168" s="1">
        <v>45813</v>
      </c>
      <c r="C168" s="2" t="s">
        <v>28</v>
      </c>
      <c r="D168" s="2" t="s">
        <v>59</v>
      </c>
      <c r="E168" s="2" t="s">
        <v>24</v>
      </c>
      <c r="F168" s="2" t="s">
        <v>47</v>
      </c>
      <c r="G168" s="2" t="s">
        <v>19</v>
      </c>
      <c r="H168">
        <v>5</v>
      </c>
      <c r="I168">
        <v>11000</v>
      </c>
      <c r="J168">
        <v>0.15</v>
      </c>
      <c r="K168" s="2" t="s">
        <v>32</v>
      </c>
      <c r="L168" s="2" t="s">
        <v>27</v>
      </c>
      <c r="M168">
        <v>55000</v>
      </c>
      <c r="N168">
        <v>8250</v>
      </c>
      <c r="O168">
        <v>46750</v>
      </c>
    </row>
    <row r="169" spans="1:15">
      <c r="A169">
        <v>10168</v>
      </c>
      <c r="B169" s="1">
        <v>45769</v>
      </c>
      <c r="C169" s="2" t="s">
        <v>34</v>
      </c>
      <c r="D169" s="2" t="s">
        <v>61</v>
      </c>
      <c r="E169" s="2" t="s">
        <v>30</v>
      </c>
      <c r="F169" s="2" t="s">
        <v>50</v>
      </c>
      <c r="G169" s="2" t="s">
        <v>51</v>
      </c>
      <c r="H169">
        <v>7</v>
      </c>
      <c r="I169">
        <v>126</v>
      </c>
      <c r="J169">
        <v>0</v>
      </c>
      <c r="K169" s="2" t="s">
        <v>37</v>
      </c>
      <c r="L169" s="2" t="s">
        <v>33</v>
      </c>
      <c r="M169">
        <v>882</v>
      </c>
      <c r="N169">
        <v>0</v>
      </c>
      <c r="O169">
        <v>882</v>
      </c>
    </row>
    <row r="170" spans="1:15">
      <c r="A170">
        <v>10169</v>
      </c>
      <c r="B170" s="1">
        <v>45789</v>
      </c>
      <c r="C170" s="2" t="s">
        <v>15</v>
      </c>
      <c r="D170" s="2" t="s">
        <v>16</v>
      </c>
      <c r="E170" s="2" t="s">
        <v>17</v>
      </c>
      <c r="F170" s="2" t="s">
        <v>54</v>
      </c>
      <c r="G170" s="2" t="s">
        <v>51</v>
      </c>
      <c r="H170">
        <v>5</v>
      </c>
      <c r="I170">
        <v>180</v>
      </c>
      <c r="J170">
        <v>0</v>
      </c>
      <c r="K170" s="2" t="s">
        <v>20</v>
      </c>
      <c r="L170" s="2" t="s">
        <v>38</v>
      </c>
      <c r="M170">
        <v>900</v>
      </c>
      <c r="N170">
        <v>0</v>
      </c>
      <c r="O170">
        <v>900</v>
      </c>
    </row>
    <row r="171" spans="1:15">
      <c r="A171">
        <v>10170</v>
      </c>
      <c r="B171" s="1">
        <v>45827</v>
      </c>
      <c r="C171" s="2" t="s">
        <v>22</v>
      </c>
      <c r="D171" s="2" t="s">
        <v>23</v>
      </c>
      <c r="E171" s="2" t="s">
        <v>24</v>
      </c>
      <c r="F171" s="2" t="s">
        <v>57</v>
      </c>
      <c r="G171" s="2" t="s">
        <v>19</v>
      </c>
      <c r="H171">
        <v>5</v>
      </c>
      <c r="I171">
        <v>2500</v>
      </c>
      <c r="J171">
        <v>0</v>
      </c>
      <c r="K171" s="2" t="s">
        <v>26</v>
      </c>
      <c r="L171" s="2" t="s">
        <v>42</v>
      </c>
      <c r="M171">
        <v>12500</v>
      </c>
      <c r="N171">
        <v>0</v>
      </c>
      <c r="O171">
        <v>12500</v>
      </c>
    </row>
    <row r="172" spans="1:15">
      <c r="A172">
        <v>10171</v>
      </c>
      <c r="B172" s="1">
        <v>45831</v>
      </c>
      <c r="C172" s="2" t="s">
        <v>28</v>
      </c>
      <c r="D172" s="2" t="s">
        <v>29</v>
      </c>
      <c r="E172" s="2" t="s">
        <v>30</v>
      </c>
      <c r="F172" s="2" t="s">
        <v>18</v>
      </c>
      <c r="G172" s="2" t="s">
        <v>19</v>
      </c>
      <c r="H172">
        <v>6</v>
      </c>
      <c r="I172">
        <v>68250</v>
      </c>
      <c r="J172">
        <v>0</v>
      </c>
      <c r="K172" s="2" t="s">
        <v>32</v>
      </c>
      <c r="L172" s="2" t="s">
        <v>45</v>
      </c>
      <c r="M172">
        <v>409500</v>
      </c>
      <c r="N172">
        <v>0</v>
      </c>
      <c r="O172">
        <v>409500</v>
      </c>
    </row>
    <row r="173" spans="1:15">
      <c r="A173">
        <v>10172</v>
      </c>
      <c r="B173" s="1">
        <v>45765</v>
      </c>
      <c r="C173" s="2" t="s">
        <v>34</v>
      </c>
      <c r="D173" s="2" t="s">
        <v>35</v>
      </c>
      <c r="E173" s="2" t="s">
        <v>17</v>
      </c>
      <c r="F173" s="2" t="s">
        <v>25</v>
      </c>
      <c r="G173" s="2" t="s">
        <v>19</v>
      </c>
      <c r="H173">
        <v>2</v>
      </c>
      <c r="I173">
        <v>12000</v>
      </c>
      <c r="J173">
        <v>0.2</v>
      </c>
      <c r="K173" s="2" t="s">
        <v>37</v>
      </c>
      <c r="L173" s="2" t="s">
        <v>48</v>
      </c>
      <c r="M173">
        <v>24000</v>
      </c>
      <c r="N173">
        <v>4800</v>
      </c>
      <c r="O173">
        <v>19200</v>
      </c>
    </row>
    <row r="174" spans="1:15">
      <c r="A174">
        <v>10173</v>
      </c>
      <c r="B174" s="1">
        <v>45801</v>
      </c>
      <c r="C174" s="2" t="s">
        <v>15</v>
      </c>
      <c r="D174" s="2" t="s">
        <v>39</v>
      </c>
      <c r="E174" s="2" t="s">
        <v>24</v>
      </c>
      <c r="F174" s="2" t="s">
        <v>31</v>
      </c>
      <c r="G174" s="2" t="s">
        <v>19</v>
      </c>
      <c r="H174">
        <v>4</v>
      </c>
      <c r="I174">
        <v>1890</v>
      </c>
      <c r="J174">
        <v>0.15</v>
      </c>
      <c r="K174" s="2" t="s">
        <v>20</v>
      </c>
      <c r="L174" s="2" t="s">
        <v>52</v>
      </c>
      <c r="M174">
        <v>7560</v>
      </c>
      <c r="N174">
        <v>1134</v>
      </c>
      <c r="O174">
        <v>6426</v>
      </c>
    </row>
    <row r="175" spans="1:15">
      <c r="A175">
        <v>10174</v>
      </c>
      <c r="B175" s="1">
        <v>45703</v>
      </c>
      <c r="C175" s="2" t="s">
        <v>22</v>
      </c>
      <c r="D175" s="2" t="s">
        <v>68</v>
      </c>
      <c r="E175" s="2" t="s">
        <v>30</v>
      </c>
      <c r="F175" s="2" t="s">
        <v>36</v>
      </c>
      <c r="G175" s="2" t="s">
        <v>19</v>
      </c>
      <c r="H175">
        <v>7</v>
      </c>
      <c r="I175">
        <v>760</v>
      </c>
      <c r="J175">
        <v>0.2</v>
      </c>
      <c r="K175" s="2" t="s">
        <v>26</v>
      </c>
      <c r="L175" s="2" t="s">
        <v>55</v>
      </c>
      <c r="M175">
        <v>5320</v>
      </c>
      <c r="N175">
        <v>1064</v>
      </c>
      <c r="O175">
        <v>4256</v>
      </c>
    </row>
    <row r="176" spans="1:15">
      <c r="A176">
        <v>10175</v>
      </c>
      <c r="B176" s="1">
        <v>45675</v>
      </c>
      <c r="C176" s="2" t="s">
        <v>28</v>
      </c>
      <c r="D176" s="2" t="s">
        <v>46</v>
      </c>
      <c r="E176" s="2" t="s">
        <v>17</v>
      </c>
      <c r="F176" s="2" t="s">
        <v>40</v>
      </c>
      <c r="G176" s="2" t="s">
        <v>41</v>
      </c>
      <c r="H176">
        <v>6</v>
      </c>
      <c r="I176">
        <v>8075</v>
      </c>
      <c r="J176">
        <v>0.1</v>
      </c>
      <c r="K176" s="2" t="s">
        <v>32</v>
      </c>
      <c r="L176" s="2" t="s">
        <v>58</v>
      </c>
      <c r="M176">
        <v>48450</v>
      </c>
      <c r="N176">
        <v>4845</v>
      </c>
      <c r="O176">
        <v>43605</v>
      </c>
    </row>
    <row r="177" spans="1:15">
      <c r="A177">
        <v>10176</v>
      </c>
      <c r="B177" s="1">
        <v>45689</v>
      </c>
      <c r="C177" s="2" t="s">
        <v>34</v>
      </c>
      <c r="D177" s="2" t="s">
        <v>49</v>
      </c>
      <c r="E177" s="2" t="s">
        <v>24</v>
      </c>
      <c r="F177" s="2" t="s">
        <v>44</v>
      </c>
      <c r="G177" s="2" t="s">
        <v>41</v>
      </c>
      <c r="H177">
        <v>4</v>
      </c>
      <c r="I177">
        <v>13300</v>
      </c>
      <c r="J177">
        <v>0.15</v>
      </c>
      <c r="K177" s="2" t="s">
        <v>37</v>
      </c>
      <c r="L177" s="2" t="s">
        <v>60</v>
      </c>
      <c r="M177">
        <v>53200</v>
      </c>
      <c r="N177">
        <v>7980</v>
      </c>
      <c r="O177">
        <v>45220</v>
      </c>
    </row>
    <row r="178" spans="1:15">
      <c r="A178">
        <v>10177</v>
      </c>
      <c r="B178" s="1">
        <v>45761</v>
      </c>
      <c r="C178" s="2" t="s">
        <v>15</v>
      </c>
      <c r="D178" s="2" t="s">
        <v>53</v>
      </c>
      <c r="E178" s="2" t="s">
        <v>30</v>
      </c>
      <c r="F178" s="2" t="s">
        <v>47</v>
      </c>
      <c r="G178" s="2" t="s">
        <v>19</v>
      </c>
      <c r="H178">
        <v>1</v>
      </c>
      <c r="I178">
        <v>10450</v>
      </c>
      <c r="J178">
        <v>0.1</v>
      </c>
      <c r="K178" s="2" t="s">
        <v>20</v>
      </c>
      <c r="L178" s="2" t="s">
        <v>62</v>
      </c>
      <c r="M178">
        <v>10450</v>
      </c>
      <c r="N178">
        <v>1045</v>
      </c>
      <c r="O178">
        <v>9405</v>
      </c>
    </row>
    <row r="179" spans="1:15">
      <c r="A179">
        <v>10178</v>
      </c>
      <c r="B179" s="1">
        <v>45752</v>
      </c>
      <c r="C179" s="2" t="s">
        <v>22</v>
      </c>
      <c r="D179" s="2" t="s">
        <v>56</v>
      </c>
      <c r="E179" s="2" t="s">
        <v>17</v>
      </c>
      <c r="F179" s="2" t="s">
        <v>50</v>
      </c>
      <c r="G179" s="2" t="s">
        <v>51</v>
      </c>
      <c r="H179">
        <v>4</v>
      </c>
      <c r="I179">
        <v>120</v>
      </c>
      <c r="J179">
        <v>0.1</v>
      </c>
      <c r="K179" s="2" t="s">
        <v>26</v>
      </c>
      <c r="L179" s="2" t="s">
        <v>63</v>
      </c>
      <c r="M179">
        <v>480</v>
      </c>
      <c r="N179">
        <v>48</v>
      </c>
      <c r="O179">
        <v>432</v>
      </c>
    </row>
    <row r="180" spans="1:15">
      <c r="A180">
        <v>10179</v>
      </c>
      <c r="B180" s="1">
        <v>45802</v>
      </c>
      <c r="C180" s="2" t="s">
        <v>28</v>
      </c>
      <c r="D180" s="2" t="s">
        <v>59</v>
      </c>
      <c r="E180" s="2" t="s">
        <v>24</v>
      </c>
      <c r="F180" s="2" t="s">
        <v>54</v>
      </c>
      <c r="G180" s="2" t="s">
        <v>51</v>
      </c>
      <c r="H180">
        <v>6</v>
      </c>
      <c r="I180">
        <v>189</v>
      </c>
      <c r="J180">
        <v>0.15</v>
      </c>
      <c r="K180" s="2" t="s">
        <v>32</v>
      </c>
      <c r="L180" s="2" t="s">
        <v>64</v>
      </c>
      <c r="M180">
        <v>1134</v>
      </c>
      <c r="N180">
        <v>170.1</v>
      </c>
      <c r="O180">
        <v>963.9</v>
      </c>
    </row>
    <row r="181" spans="1:15">
      <c r="A181">
        <v>10180</v>
      </c>
      <c r="B181" s="1">
        <v>45766</v>
      </c>
      <c r="C181" s="2" t="s">
        <v>34</v>
      </c>
      <c r="D181" s="2" t="s">
        <v>61</v>
      </c>
      <c r="E181" s="2" t="s">
        <v>30</v>
      </c>
      <c r="F181" s="2" t="s">
        <v>57</v>
      </c>
      <c r="G181" s="2" t="s">
        <v>19</v>
      </c>
      <c r="H181">
        <v>4</v>
      </c>
      <c r="I181">
        <v>2375</v>
      </c>
      <c r="J181">
        <v>0.1</v>
      </c>
      <c r="K181" s="2" t="s">
        <v>37</v>
      </c>
      <c r="L181" s="2" t="s">
        <v>65</v>
      </c>
      <c r="M181">
        <v>9500</v>
      </c>
      <c r="N181">
        <v>950</v>
      </c>
      <c r="O181">
        <v>8550</v>
      </c>
    </row>
    <row r="182" spans="1:15">
      <c r="A182">
        <v>10021</v>
      </c>
      <c r="B182" s="1">
        <v>45808</v>
      </c>
      <c r="C182" s="2" t="s">
        <v>15</v>
      </c>
      <c r="D182" s="2" t="s">
        <v>53</v>
      </c>
      <c r="E182" s="2" t="s">
        <v>30</v>
      </c>
      <c r="F182" s="2" t="s">
        <v>18</v>
      </c>
      <c r="G182" s="2" t="s">
        <v>19</v>
      </c>
      <c r="H182">
        <v>7</v>
      </c>
      <c r="I182">
        <v>61750</v>
      </c>
      <c r="J182">
        <v>0.1</v>
      </c>
      <c r="K182" s="2" t="s">
        <v>20</v>
      </c>
      <c r="L182" s="2" t="s">
        <v>73</v>
      </c>
      <c r="M182">
        <v>432250</v>
      </c>
      <c r="N182">
        <v>43225</v>
      </c>
      <c r="O182">
        <v>389025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605B-4987-4E40-BDE4-81FDA7A49716}">
  <dimension ref="A1:B6"/>
  <sheetViews>
    <sheetView workbookViewId="0">
      <selection activeCell="E14" sqref="E14"/>
    </sheetView>
  </sheetViews>
  <sheetFormatPr defaultRowHeight="14.4"/>
  <cols>
    <col min="1" max="1" width="17.21875" customWidth="1"/>
    <col min="2" max="2" width="12.88671875" customWidth="1"/>
  </cols>
  <sheetData>
    <row r="1" spans="1:2" ht="28.8">
      <c r="A1" s="3" t="s">
        <v>111</v>
      </c>
      <c r="B1" s="4">
        <f>ROWS(tblSales[order_id])</f>
        <v>181</v>
      </c>
    </row>
    <row r="2" spans="1:2" ht="43.2">
      <c r="A2" s="3" t="s">
        <v>112</v>
      </c>
      <c r="B2" s="4">
        <f>COUNTA(_xlfn.UNIQUE(tblSales[customer_id]))</f>
        <v>56</v>
      </c>
    </row>
    <row r="3" spans="1:2" ht="28.8">
      <c r="A3" s="3" t="s">
        <v>113</v>
      </c>
      <c r="B3" s="4">
        <f>SUM(tblSales[quantity])</f>
        <v>752</v>
      </c>
    </row>
    <row r="4" spans="1:2" ht="28.8">
      <c r="A4" s="3" t="s">
        <v>114</v>
      </c>
      <c r="B4" s="4">
        <f>SUM(tblSales[net_sales])</f>
        <v>8137242.2000000011</v>
      </c>
    </row>
    <row r="5" spans="1:2" ht="43.2">
      <c r="A5" s="3" t="s">
        <v>115</v>
      </c>
      <c r="B5" s="4">
        <f>MIN(tblSales[order_date])</f>
        <v>45659</v>
      </c>
    </row>
    <row r="6" spans="1:2" ht="43.2">
      <c r="A6" s="3" t="s">
        <v>116</v>
      </c>
      <c r="B6" s="4">
        <f>MAX(tblSales[order_date])</f>
        <v>45837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768EE-0953-4864-917B-7280082C09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01_retail_sales cleaned</vt:lpstr>
      <vt:lpstr>01_retail_sales</vt:lpstr>
      <vt:lpstr>Data_Profile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Ghoshal</dc:creator>
  <cp:lastModifiedBy>Sneha Ghoshal</cp:lastModifiedBy>
  <dcterms:created xsi:type="dcterms:W3CDTF">2026-08-13T06:21:47Z</dcterms:created>
  <dcterms:modified xsi:type="dcterms:W3CDTF">2026-08-13T07:07:42Z</dcterms:modified>
</cp:coreProperties>
</file>